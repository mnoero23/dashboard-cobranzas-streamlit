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1" autoFilterDateGrouping="1"/>
  </bookViews>
  <sheets>
    <sheet name="Resumen" sheetId="1" state="visible" r:id="rId1"/>
    <sheet name="Facturas" sheetId="2" state="visible" r:id="rId2"/>
    <sheet name="Clientes" sheetId="3" state="visible" r:id="rId3"/>
    <sheet name="Servicios" sheetId="4" state="visible" r:id="rId4"/>
    <sheet name="Tipo_Cambio" sheetId="5" state="visible" r:id="rId5"/>
    <sheet name="Diccionario" sheetId="6" state="visible" r:id="rId6"/>
    <sheet name="README" sheetId="7" state="visible" r:id="rId7"/>
  </sheets>
  <definedNames>
    <definedName name="_xlnm._FilterDatabase" localSheetId="1" hidden="1">'Facturas'!$A$1:$AB$245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yyyy\-mm"/>
    <numFmt numFmtId="166" formatCode="\$\ #,##0.00"/>
    <numFmt numFmtId="167" formatCode="&quot;$&quot;\ #,##0.00"/>
    <numFmt numFmtId="168" formatCode="yyyy-mm-dd h:mm:ss"/>
  </numFmts>
  <fonts count="6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sz val="11"/>
    </font>
    <font>
      <name val="Carlito"/>
      <b val="1"/>
      <color rgb="FF7F6000"/>
      <sz val="11"/>
    </font>
    <font>
      <name val="Carlito"/>
      <b val="1"/>
      <color rgb="FFFFFFFF"/>
      <sz val="16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AF2F8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1" fillId="4" borderId="0" applyAlignment="1" pivotButton="0" quotePrefix="0" xfId="0">
      <alignment horizontal="center" vertical="center"/>
    </xf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166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1" fillId="4" borderId="2" applyAlignment="1" pivotButton="0" quotePrefix="0" xfId="0">
      <alignment horizontal="center" vertical="center" wrapText="1"/>
    </xf>
    <xf numFmtId="167" fontId="0" fillId="0" borderId="0" pivotButton="0" quotePrefix="0" xfId="0"/>
    <xf numFmtId="0" fontId="4" fillId="0" borderId="0" applyAlignment="1" pivotButton="0" quotePrefix="0" xfId="0">
      <alignment wrapText="1"/>
    </xf>
    <xf numFmtId="14" fontId="3" fillId="3" borderId="0" pivotButton="0" quotePrefix="0" xfId="0"/>
    <xf numFmtId="0" fontId="3" fillId="9" borderId="0" pivotButton="0" quotePrefix="0" xfId="0"/>
    <xf numFmtId="167" fontId="3" fillId="9" borderId="0" pivotButton="0" quotePrefix="0" xfId="0"/>
    <xf numFmtId="1" fontId="3" fillId="9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168" fontId="0" fillId="0" borderId="0" pivotButton="0" quotePrefix="0" xfId="0"/>
  </cellXfs>
  <cellStyles count="1">
    <cellStyle name="Normal" xfId="0" builtinId="0"/>
  </cellStyles>
  <dxfs count="9">
    <dxf>
      <font>
        <b val="1"/>
        <color rgb="FFB91C1C"/>
      </font>
      <fill>
        <patternFill patternType="solid">
          <bgColor rgb="FFFECACA"/>
        </patternFill>
      </fill>
    </dxf>
    <dxf>
      <font>
        <b val="1"/>
        <color rgb="FFB91C1C"/>
      </font>
      <fill>
        <patternFill patternType="solid">
          <bgColor rgb="FFFECACA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numFmt numFmtId="167" formatCode="&quot;$&quot;\ #,##0.00"/>
    </dxf>
    <dxf>
      <numFmt numFmtId="167" formatCode="&quot;$&quot;\ #,##0.00"/>
    </dxf>
    <dxf>
      <numFmt numFmtId="167" formatCode="&quot;$&quot;\ #,##0.00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Facturado</v>
          </tx>
          <spPr>
            <a:ln>
              <a:prstDash val="solid"/>
            </a:ln>
          </spPr>
          <invertIfNegative val="1"/>
          <cat>
            <numRef>
              <f>Resumen!$A$16:$A$27</f>
              <numCache>
                <formatCode>yyyy\-mm</formatCode>
                <ptCount val="12"/>
                <pt idx="0">
                  <v>45870</v>
                </pt>
                <pt idx="1">
                  <v>45901</v>
                </pt>
                <pt idx="2">
                  <v>45931</v>
                </pt>
                <pt idx="3">
                  <v>45962</v>
                </pt>
                <pt idx="4">
                  <v>45992</v>
                </pt>
                <pt idx="5">
                  <v>46023</v>
                </pt>
                <pt idx="6">
                  <v>46054</v>
                </pt>
                <pt idx="7">
                  <v>46082</v>
                </pt>
                <pt idx="8">
                  <v>46113</v>
                </pt>
                <pt idx="9">
                  <v>46143</v>
                </pt>
                <pt idx="10">
                  <v>46174</v>
                </pt>
                <pt idx="11">
                  <v>46204</v>
                </pt>
              </numCache>
            </numRef>
          </cat>
          <val>
            <numRef>
              <f>Resumen!$B$16:$B$27</f>
              <numCache>
                <formatCode>"$"\ #,##0.00</formatCode>
                <ptCount val="12"/>
                <pt idx="0">
                  <v>3704100</v>
                </pt>
                <pt idx="1">
                  <v>20773950</v>
                </pt>
                <pt idx="2">
                  <v>23711000</v>
                </pt>
                <pt idx="3">
                  <v>16569400</v>
                </pt>
                <pt idx="4">
                  <v>17651600</v>
                </pt>
                <pt idx="5">
                  <v>24548150</v>
                </pt>
                <pt idx="6">
                  <v>19353750</v>
                </pt>
                <pt idx="7">
                  <v>15703050</v>
                </pt>
                <pt idx="8">
                  <v>22387600</v>
                </pt>
                <pt idx="9">
                  <v>21757400</v>
                </pt>
                <pt idx="10">
                  <v>21501600</v>
                </pt>
                <pt idx="11">
                  <v>17034950</v>
                </pt>
              </numCache>
            </numRef>
          </val>
        </ser>
        <ser>
          <idx val="1"/>
          <order val="1"/>
          <tx>
            <v>Cobrado</v>
          </tx>
          <spPr>
            <a:ln>
              <a:prstDash val="solid"/>
            </a:ln>
          </spPr>
          <invertIfNegative val="1"/>
          <cat>
            <numRef>
              <f>Resumen!$A$16:$A$27</f>
              <numCache>
                <formatCode>yyyy\-mm</formatCode>
                <ptCount val="12"/>
                <pt idx="0">
                  <v>45870</v>
                </pt>
                <pt idx="1">
                  <v>45901</v>
                </pt>
                <pt idx="2">
                  <v>45931</v>
                </pt>
                <pt idx="3">
                  <v>45962</v>
                </pt>
                <pt idx="4">
                  <v>45992</v>
                </pt>
                <pt idx="5">
                  <v>46023</v>
                </pt>
                <pt idx="6">
                  <v>46054</v>
                </pt>
                <pt idx="7">
                  <v>46082</v>
                </pt>
                <pt idx="8">
                  <v>46113</v>
                </pt>
                <pt idx="9">
                  <v>46143</v>
                </pt>
                <pt idx="10">
                  <v>46174</v>
                </pt>
                <pt idx="11">
                  <v>46204</v>
                </pt>
              </numCache>
            </numRef>
          </cat>
          <val>
            <numRef>
              <f>Resumen!$C$16:$C$27</f>
              <numCache>
                <formatCode>"$"\ #,##0.00</formatCode>
                <ptCount val="12"/>
                <pt idx="0">
                  <v>16600184.88</v>
                </pt>
                <pt idx="1">
                  <v>20679058.35</v>
                </pt>
                <pt idx="2">
                  <v>11278097.07</v>
                </pt>
                <pt idx="3">
                  <v>13312637.97</v>
                </pt>
                <pt idx="4">
                  <v>18702785.31</v>
                </pt>
                <pt idx="5">
                  <v>9901392.4</v>
                </pt>
                <pt idx="6">
                  <v>15368372.56</v>
                </pt>
                <pt idx="7">
                  <v>15938710.49</v>
                </pt>
                <pt idx="8">
                  <v>13545448.67</v>
                </pt>
                <pt idx="9">
                  <v>7615289.25</v>
                </pt>
                <pt idx="10">
                  <v>3784550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date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yyyy\-mm" sourceLinked="1"/>
        <majorTickMark val="none"/>
        <minorTickMark val="none"/>
        <tickLblPos val="nextTo"/>
        <crossAx val="48672768"/>
        <crosses val="autoZero"/>
        <lblOffset val="100"/>
        <baseTimeUnit val="months"/>
      </date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&quot;$&quot;\ #,##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Saldo eq. ARS</v>
          </tx>
          <spPr>
            <a:ln>
              <a:prstDash val="solid"/>
            </a:ln>
          </spPr>
          <invertIfNegative val="1"/>
          <cat>
            <strRef>
              <f>Resumen!$G$16:$G$25</f>
              <strCache>
                <ptCount val="10"/>
                <pt idx="0">
                  <v>Punto Sur S.A.</v>
                </pt>
                <pt idx="1">
                  <v>Faro Administrativo S.A.S.</v>
                </pt>
                <pt idx="2">
                  <v>Zonda Gestión S.R.L.</v>
                </pt>
                <pt idx="3">
                  <v>Eje Comercial S.R.L.</v>
                </pt>
                <pt idx="4">
                  <v>Litoral Soluciones S.R.L.</v>
                </pt>
                <pt idx="5">
                  <v>Delta Gestión PyME S.A.</v>
                </pt>
                <pt idx="6">
                  <v>Tango Gestión S.R.L.</v>
                </pt>
                <pt idx="7">
                  <v>Unión PyME Servicios S.A.</v>
                </pt>
                <pt idx="8">
                  <v>Valle Operativo S.R.L.</v>
                </pt>
                <pt idx="9">
                  <v>Horizonte Servicios S.R.L.</v>
                </pt>
              </strCache>
            </strRef>
          </cat>
          <val>
            <numRef>
              <f>Resumen!$H$16:$H$25</f>
              <numCache>
                <formatCode>"$"\ #,##0.00</formatCode>
                <ptCount val="10"/>
                <pt idx="0">
                  <v>7879766.87</v>
                </pt>
                <pt idx="1">
                  <v>7812484.02</v>
                </pt>
                <pt idx="2">
                  <v>5830413.119999999</v>
                </pt>
                <pt idx="3">
                  <v>5290699.46</v>
                </pt>
                <pt idx="4">
                  <v>5259586.84</v>
                </pt>
                <pt idx="5">
                  <v>5153400</v>
                </pt>
                <pt idx="6">
                  <v>5142413.46</v>
                </pt>
                <pt idx="7">
                  <v>4839847.21</v>
                </pt>
                <pt idx="8">
                  <v>4540110.57</v>
                </pt>
                <pt idx="9">
                  <v>3787788.59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&quot;$&quot;\ #,##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7600950" cy="304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133349</colOff>
      <row>29</row>
      <rowOff>38100</rowOff>
    </from>
    <ext cx="7762875" cy="3048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menMensualTable" displayName="ResumenMensualTable" ref="A15:E27" headerRowCount="1">
  <tableColumns count="5">
    <tableColumn id="1" name="Mes"/>
    <tableColumn id="2" name="Facturado eq. ARS" dataDxfId="8">
      <calculatedColumnFormula>SUMIFS(FacturasTable[importe_equivalente_ars],FacturasTable[mes_vencimiento],A16)</calculatedColumnFormula>
    </tableColumn>
    <tableColumn id="3" name="Cobrado eq. ARS" dataDxfId="7">
      <calculatedColumnFormula>SUMIFS(FacturasTable[importe_equivalente_ars],FacturasTable[mes_emision],A16)-SUMIFS(FacturasTable[saldo_equivalente_ars],FacturasTable[mes_emision],A16)</calculatedColumnFormula>
    </tableColumn>
    <tableColumn id="4" name="Saldo eq. ARS" dataDxfId="6">
      <calculatedColumnFormula>SUMIFS(FacturasTable[saldo_equivalente_ars],FacturasTable[mes_emision],A16)</calculatedColumnFormula>
    </tableColumn>
    <tableColumn id="5" name="Facturas">
      <calculatedColumnFormula>COUNTIFS(FacturasTable[mes_emision],A16)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pClientesTable" displayName="TopClientesTable" ref="G15:J25" headerRowCount="1">
  <tableColumns count="4">
    <tableColumn id="1" name="Cliente"/>
    <tableColumn id="2" name="Saldo eq. ARS">
      <calculatedColumnFormula>+SUMIF(FacturasTable[cliente],TopClientesTable[[#This Row],[Cliente]],FacturasTable[saldo_equivalente_ars])</calculatedColumnFormula>
    </tableColumn>
    <tableColumn id="3" name="Saldo USD">
      <calculatedColumnFormula>IF($G16="","",SUMIFS(FacturasTable[saldo_pendiente],FacturasTable[cliente],$G16,FacturasTable[moneda],"USD"))</calculatedColumnFormula>
    </tableColumn>
    <tableColumn id="4" name="Facturas vencidas">
      <calculatedColumnFormula>+IF($G16="","",COUNTIFS(FacturasTable[cliente],$G16,FacturasTable[estado],"Vencida"))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acturasTable" displayName="FacturasTable" ref="A1:AB245" headerRowCount="1">
  <tableColumns count="28">
    <tableColumn id="1" name="id_factura"/>
    <tableColumn id="2" name="fecha_emision"/>
    <tableColumn id="3" name="fecha_vencimiento"/>
    <tableColumn id="4" name="fecha_pago"/>
    <tableColumn id="5" name="id_cliente"/>
    <tableColumn id="6" name="cliente"/>
    <tableColumn id="7" name="tipo_cliente"/>
    <tableColumn id="8" name="id_servicio"/>
    <tableColumn id="9" name="tipo_servicio"/>
    <tableColumn id="10" name="moneda"/>
    <tableColumn id="11" name="importe_facturado"/>
    <tableColumn id="12" name="importe_cobrado"/>
    <tableColumn id="13" name="saldo_pendiente"/>
    <tableColumn id="14" name="tipo_cambio"/>
    <tableColumn id="15" name="importe_equivalente_ars"/>
    <tableColumn id="16" name="saldo_equivalente_ars"/>
    <tableColumn id="17" name="estado"/>
    <tableColumn id="18" name="dias_atraso"/>
    <tableColumn id="19" name="prioridad_cobranza"/>
    <tableColumn id="20" name="responsable"/>
    <tableColumn id="21" name="proxima_accion"/>
    <tableColumn id="22" name="observaciones"/>
    <tableColumn id="23" name="mes_emision"/>
    <tableColumn id="24" name="mes_vencimiento"/>
    <tableColumn id="25" name="trimestre"/>
    <tableColumn id="26" name="vencida_si_no"/>
    <tableColumn id="27" name="parcial_si_no"/>
    <tableColumn id="28" name="exposicion_usd_si_n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ipoCambioTable" displayName="TipoCambioTable" ref="A1:C13" headerRowCount="1">
  <tableColumns count="3">
    <tableColumn id="1" name="mes"/>
    <tableColumn id="2" name="tipo_cambio_referencia"/>
    <tableColumn id="3" name="no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iccionarioTable" displayName="DiccionarioTable" ref="A1:C20" headerRowCount="1">
  <tableColumns count="3">
    <tableColumn id="1" name="Campo"/>
    <tableColumn id="2" name="Descripción"/>
    <tableColumn id="3" name="Tipo / u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topLeftCell="A14" workbookViewId="0">
      <selection activeCell="E19" sqref="E19"/>
    </sheetView>
  </sheetViews>
  <sheetFormatPr baseColWidth="10" defaultColWidth="9" defaultRowHeight="13.5"/>
  <cols>
    <col width="26" customWidth="1" style="29" min="1" max="1"/>
    <col width="20" customWidth="1" style="29" min="2" max="2"/>
    <col width="16.125" bestFit="1" customWidth="1" style="29" min="3" max="3"/>
    <col width="18" customWidth="1" style="29" min="4" max="4"/>
    <col width="22" customWidth="1" style="29" min="5" max="5"/>
    <col width="3" customWidth="1" style="29" min="6" max="6"/>
    <col width="30" customWidth="1" style="29" min="7" max="7"/>
    <col width="18" customWidth="1" style="29" min="8" max="8"/>
    <col width="14" customWidth="1" style="29" min="9" max="9"/>
    <col width="16" customWidth="1" style="29" min="10" max="10"/>
  </cols>
  <sheetData>
    <row r="1" ht="17.65" customHeight="1" s="29">
      <c r="A1" s="28" t="inlineStr">
        <is>
          <t>Dashboard de cobranzas y facturación - Dataset ficticio</t>
        </is>
      </c>
    </row>
    <row r="3" ht="13.9" customHeight="1" s="29">
      <c r="A3" s="8" t="inlineStr">
        <is>
          <t>Fecha de análisis</t>
        </is>
      </c>
      <c r="B3" s="24" t="n">
        <v>46204</v>
      </c>
      <c r="D3" s="8" t="inlineStr">
        <is>
          <t>Período</t>
        </is>
      </c>
      <c r="E3" s="8" t="inlineStr">
        <is>
          <t>Últimos 12 meses móviles</t>
        </is>
      </c>
    </row>
    <row r="4" ht="32.1" customHeight="1" s="29">
      <c r="G4" s="23" t="n"/>
    </row>
    <row r="5" ht="13.9" customHeight="1" s="29">
      <c r="A5" s="25" t="inlineStr">
        <is>
          <t>Total facturado eq. ARS</t>
        </is>
      </c>
      <c r="B5" s="26">
        <f>SUM(FacturasTable[importe_equivalente_ars])</f>
        <v/>
      </c>
    </row>
    <row r="6" ht="13.9" customHeight="1" s="29">
      <c r="A6" s="25" t="inlineStr">
        <is>
          <t>Total cobrado eq. ARS</t>
        </is>
      </c>
      <c r="B6" s="26">
        <f>SUM(FacturasTable[importe_equivalente_ars])-SUM(FacturasTable[saldo_equivalente_ars])</f>
        <v/>
      </c>
    </row>
    <row r="7" ht="13.9" customHeight="1" s="29">
      <c r="A7" s="25" t="inlineStr">
        <is>
          <t>Saldo pendiente eq. ARS</t>
        </is>
      </c>
      <c r="B7" s="26">
        <f>SUM(FacturasTable[saldo_equivalente_ars])</f>
        <v/>
      </c>
    </row>
    <row r="8" ht="13.9" customHeight="1" s="29">
      <c r="A8" s="25" t="inlineStr">
        <is>
          <t>Saldo vencido eq. ARS</t>
        </is>
      </c>
      <c r="B8" s="26">
        <f>SUMIFS(FacturasTable[saldo_equivalente_ars],FacturasTable[estado],"Vencida")</f>
        <v/>
      </c>
    </row>
    <row r="9" ht="13.9" customHeight="1" s="29">
      <c r="A9" s="25" t="inlineStr">
        <is>
          <t>Facturas vencidas</t>
        </is>
      </c>
      <c r="B9" s="27">
        <f>COUNTIF(FacturasTable[estado],"Vencida")</f>
        <v/>
      </c>
    </row>
    <row r="10" ht="13.9" customHeight="1" s="29">
      <c r="A10" s="25" t="inlineStr">
        <is>
          <t>Saldo pendiente USD</t>
        </is>
      </c>
      <c r="B10" s="26">
        <f>SUMIFS(FacturasTable[saldo_pendiente],FacturasTable[moneda],"USD")</f>
        <v/>
      </c>
    </row>
    <row r="11" ht="13.9" customHeight="1" s="29">
      <c r="A11" s="25" t="inlineStr">
        <is>
          <t>Saldo pendiente ARS</t>
        </is>
      </c>
      <c r="B11" s="26">
        <f>SUMIFS(FacturasTable[saldo_pendiente],FacturasTable[moneda],"ARS")</f>
        <v/>
      </c>
    </row>
    <row r="12" ht="13.9" customHeight="1" s="29">
      <c r="A12" s="25" t="inlineStr">
        <is>
          <t>Días promedio de atraso</t>
        </is>
      </c>
      <c r="B12" s="27">
        <f>IFERROR(AVERAGEIF(FacturasTable[dias_atraso],"&gt;0",FacturasTable[dias_atraso]),0)</f>
        <v/>
      </c>
    </row>
    <row r="15" ht="13.9" customHeight="1" s="29">
      <c r="A15" s="6" t="inlineStr">
        <is>
          <t>Mes</t>
        </is>
      </c>
      <c r="B15" s="6" t="inlineStr">
        <is>
          <t>Facturado eq. ARS</t>
        </is>
      </c>
      <c r="C15" s="6" t="inlineStr">
        <is>
          <t>Cobrado eq. ARS</t>
        </is>
      </c>
      <c r="D15" s="6" t="inlineStr">
        <is>
          <t>Saldo eq. ARS</t>
        </is>
      </c>
      <c r="E15" s="6" t="inlineStr">
        <is>
          <t>Facturas</t>
        </is>
      </c>
      <c r="G15" s="6" t="inlineStr">
        <is>
          <t>Cliente</t>
        </is>
      </c>
      <c r="H15" s="6" t="inlineStr">
        <is>
          <t>Saldo eq. ARS</t>
        </is>
      </c>
      <c r="I15" s="6" t="inlineStr">
        <is>
          <t>Saldo USD</t>
        </is>
      </c>
      <c r="J15" s="6" t="inlineStr">
        <is>
          <t>Facturas vencidas</t>
        </is>
      </c>
    </row>
    <row r="16">
      <c r="A16" s="7" t="n">
        <v>45870</v>
      </c>
      <c r="B16" s="22">
        <f>SUMIFS(FacturasTable[importe_equivalente_ars],FacturasTable[mes_vencimiento],A16)</f>
        <v/>
      </c>
      <c r="C16" s="22">
        <f>SUMIFS(FacturasTable[importe_equivalente_ars],FacturasTable[mes_emision],A16)-SUMIFS(FacturasTable[saldo_equivalente_ars],FacturasTable[mes_emision],A16)</f>
        <v/>
      </c>
      <c r="D16" s="22">
        <f>SUMIFS(FacturasTable[saldo_equivalente_ars],FacturasTable[mes_emision],A16)</f>
        <v/>
      </c>
      <c r="E16" s="5">
        <f>COUNTIFS(FacturasTable[mes_emision],A16)</f>
        <v/>
      </c>
      <c r="G16" t="inlineStr">
        <is>
          <t>Punto Sur S.A.</t>
        </is>
      </c>
      <c r="H16" s="22">
        <f>+SUMIF(FacturasTable[cliente],TopClientesTable[[#This Row],[Cliente]],FacturasTable[saldo_equivalente_ars])</f>
        <v/>
      </c>
      <c r="I16" s="4">
        <f>IF($G16="","",SUMIFS(FacturasTable[saldo_pendiente],FacturasTable[cliente],$G16,FacturasTable[moneda],"USD"))</f>
        <v/>
      </c>
      <c r="J16" s="5">
        <f>+IF($G16="","",COUNTIFS(FacturasTable[cliente],$G16,FacturasTable[estado],"Vencida"))</f>
        <v/>
      </c>
    </row>
    <row r="17">
      <c r="A17" s="7" t="n">
        <v>45901</v>
      </c>
      <c r="B17" s="22">
        <f>SUMIFS(FacturasTable[importe_equivalente_ars],FacturasTable[mes_vencimiento],A17)</f>
        <v/>
      </c>
      <c r="C17" s="22">
        <f>SUMIFS(FacturasTable[importe_equivalente_ars],FacturasTable[mes_emision],A17)-SUMIFS(FacturasTable[saldo_equivalente_ars],FacturasTable[mes_emision],A17)</f>
        <v/>
      </c>
      <c r="D17" s="22">
        <f>SUMIFS(FacturasTable[saldo_equivalente_ars],FacturasTable[mes_emision],A17)</f>
        <v/>
      </c>
      <c r="E17" s="5">
        <f>COUNTIFS(FacturasTable[mes_emision],A17)</f>
        <v/>
      </c>
      <c r="G17" t="inlineStr">
        <is>
          <t>Faro Administrativo S.A.S.</t>
        </is>
      </c>
      <c r="H17" s="22">
        <f>+SUMIF(FacturasTable[cliente],TopClientesTable[[#This Row],[Cliente]],FacturasTable[saldo_equivalente_ars])</f>
        <v/>
      </c>
      <c r="I17" s="4">
        <f>IF($G17="","",SUMIFS(FacturasTable[saldo_pendiente],FacturasTable[cliente],$G17,FacturasTable[moneda],"USD"))</f>
        <v/>
      </c>
      <c r="J17" s="5">
        <f>+IF($G17="","",COUNTIFS(FacturasTable[cliente],$G17,FacturasTable[estado],"Vencida"))</f>
        <v/>
      </c>
    </row>
    <row r="18">
      <c r="A18" s="7" t="n">
        <v>45931</v>
      </c>
      <c r="B18" s="22">
        <f>SUMIFS(FacturasTable[importe_equivalente_ars],FacturasTable[mes_vencimiento],A18)</f>
        <v/>
      </c>
      <c r="C18" s="22">
        <f>SUMIFS(FacturasTable[importe_equivalente_ars],FacturasTable[mes_emision],A18)-SUMIFS(FacturasTable[saldo_equivalente_ars],FacturasTable[mes_emision],A18)</f>
        <v/>
      </c>
      <c r="D18" s="22">
        <f>SUMIFS(FacturasTable[saldo_equivalente_ars],FacturasTable[mes_emision],A18)</f>
        <v/>
      </c>
      <c r="E18" s="5">
        <f>COUNTIFS(FacturasTable[mes_emision],A18)</f>
        <v/>
      </c>
      <c r="G18" t="inlineStr">
        <is>
          <t>Zonda Gestión S.R.L.</t>
        </is>
      </c>
      <c r="H18" s="22">
        <f>+SUMIF(FacturasTable[cliente],TopClientesTable[[#This Row],[Cliente]],FacturasTable[saldo_equivalente_ars])</f>
        <v/>
      </c>
      <c r="I18" s="4">
        <f>IF($G18="","",SUMIFS(FacturasTable[saldo_pendiente],FacturasTable[cliente],$G18,FacturasTable[moneda],"USD"))</f>
        <v/>
      </c>
      <c r="J18" s="5">
        <f>+IF($G18="","",COUNTIFS(FacturasTable[cliente],$G18,FacturasTable[estado],"Vencida"))</f>
        <v/>
      </c>
    </row>
    <row r="19">
      <c r="A19" s="7" t="n">
        <v>45962</v>
      </c>
      <c r="B19" s="22">
        <f>SUMIFS(FacturasTable[importe_equivalente_ars],FacturasTable[mes_vencimiento],A19)</f>
        <v/>
      </c>
      <c r="C19" s="22">
        <f>SUMIFS(FacturasTable[importe_equivalente_ars],FacturasTable[mes_emision],A19)-SUMIFS(FacturasTable[saldo_equivalente_ars],FacturasTable[mes_emision],A19)</f>
        <v/>
      </c>
      <c r="D19" s="22">
        <f>SUMIFS(FacturasTable[saldo_equivalente_ars],FacturasTable[mes_emision],A19)</f>
        <v/>
      </c>
      <c r="E19" s="5">
        <f>COUNTIFS(FacturasTable[mes_emision],A19)</f>
        <v/>
      </c>
      <c r="G19" t="inlineStr">
        <is>
          <t>Eje Comercial S.R.L.</t>
        </is>
      </c>
      <c r="H19" s="22">
        <f>+SUMIF(FacturasTable[cliente],TopClientesTable[[#This Row],[Cliente]],FacturasTable[saldo_equivalente_ars])</f>
        <v/>
      </c>
      <c r="I19" s="4">
        <f>IF($G19="","",SUMIFS(FacturasTable[saldo_pendiente],FacturasTable[cliente],$G19,FacturasTable[moneda],"USD"))</f>
        <v/>
      </c>
      <c r="J19" s="5">
        <f>+IF($G19="","",COUNTIFS(FacturasTable[cliente],$G19,FacturasTable[estado],"Vencida"))</f>
        <v/>
      </c>
    </row>
    <row r="20">
      <c r="A20" s="7" t="n">
        <v>45992</v>
      </c>
      <c r="B20" s="22">
        <f>SUMIFS(FacturasTable[importe_equivalente_ars],FacturasTable[mes_vencimiento],A20)</f>
        <v/>
      </c>
      <c r="C20" s="22">
        <f>SUMIFS(FacturasTable[importe_equivalente_ars],FacturasTable[mes_emision],A20)-SUMIFS(FacturasTable[saldo_equivalente_ars],FacturasTable[mes_emision],A20)</f>
        <v/>
      </c>
      <c r="D20" s="22">
        <f>SUMIFS(FacturasTable[saldo_equivalente_ars],FacturasTable[mes_emision],A20)</f>
        <v/>
      </c>
      <c r="E20" s="5">
        <f>COUNTIFS(FacturasTable[mes_emision],A20)</f>
        <v/>
      </c>
      <c r="G20" t="inlineStr">
        <is>
          <t>Litoral Soluciones S.R.L.</t>
        </is>
      </c>
      <c r="H20" s="22">
        <f>+SUMIF(FacturasTable[cliente],TopClientesTable[[#This Row],[Cliente]],FacturasTable[saldo_equivalente_ars])</f>
        <v/>
      </c>
      <c r="I20" s="4">
        <f>IF($G20="","",SUMIFS(FacturasTable[saldo_pendiente],FacturasTable[cliente],$G20,FacturasTable[moneda],"USD"))</f>
        <v/>
      </c>
      <c r="J20" s="5">
        <f>+IF($G20="","",COUNTIFS(FacturasTable[cliente],$G20,FacturasTable[estado],"Vencida"))</f>
        <v/>
      </c>
    </row>
    <row r="21">
      <c r="A21" s="7" t="n">
        <v>46023</v>
      </c>
      <c r="B21" s="22">
        <f>SUMIFS(FacturasTable[importe_equivalente_ars],FacturasTable[mes_vencimiento],A21)</f>
        <v/>
      </c>
      <c r="C21" s="22">
        <f>SUMIFS(FacturasTable[importe_equivalente_ars],FacturasTable[mes_emision],A21)-SUMIFS(FacturasTable[saldo_equivalente_ars],FacturasTable[mes_emision],A21)</f>
        <v/>
      </c>
      <c r="D21" s="22">
        <f>SUMIFS(FacturasTable[saldo_equivalente_ars],FacturasTable[mes_emision],A21)</f>
        <v/>
      </c>
      <c r="E21" s="5">
        <f>COUNTIFS(FacturasTable[mes_emision],A21)</f>
        <v/>
      </c>
      <c r="G21" t="inlineStr">
        <is>
          <t>Delta Gestión PyME S.A.</t>
        </is>
      </c>
      <c r="H21" s="22">
        <f>+SUMIF(FacturasTable[cliente],TopClientesTable[[#This Row],[Cliente]],FacturasTable[saldo_equivalente_ars])</f>
        <v/>
      </c>
      <c r="I21" s="4">
        <f>IF($G21="","",SUMIFS(FacturasTable[saldo_pendiente],FacturasTable[cliente],$G21,FacturasTable[moneda],"USD"))</f>
        <v/>
      </c>
      <c r="J21" s="5">
        <f>+IF($G21="","",COUNTIFS(FacturasTable[cliente],$G21,FacturasTable[estado],"Vencida"))</f>
        <v/>
      </c>
    </row>
    <row r="22">
      <c r="A22" s="7" t="n">
        <v>46054</v>
      </c>
      <c r="B22" s="22">
        <f>SUMIFS(FacturasTable[importe_equivalente_ars],FacturasTable[mes_vencimiento],A22)</f>
        <v/>
      </c>
      <c r="C22" s="22">
        <f>SUMIFS(FacturasTable[importe_equivalente_ars],FacturasTable[mes_emision],A22)-SUMIFS(FacturasTable[saldo_equivalente_ars],FacturasTable[mes_emision],A22)</f>
        <v/>
      </c>
      <c r="D22" s="22">
        <f>SUMIFS(FacturasTable[saldo_equivalente_ars],FacturasTable[mes_emision],A22)</f>
        <v/>
      </c>
      <c r="E22" s="5">
        <f>COUNTIFS(FacturasTable[mes_emision],A22)</f>
        <v/>
      </c>
      <c r="G22" t="inlineStr">
        <is>
          <t>Tango Gestión S.R.L.</t>
        </is>
      </c>
      <c r="H22" s="22">
        <f>+SUMIF(FacturasTable[cliente],TopClientesTable[[#This Row],[Cliente]],FacturasTable[saldo_equivalente_ars])</f>
        <v/>
      </c>
      <c r="I22" s="4">
        <f>IF($G22="","",SUMIFS(FacturasTable[saldo_pendiente],FacturasTable[cliente],$G22,FacturasTable[moneda],"USD"))</f>
        <v/>
      </c>
      <c r="J22" s="5">
        <f>+IF($G22="","",COUNTIFS(FacturasTable[cliente],$G22,FacturasTable[estado],"Vencida"))</f>
        <v/>
      </c>
    </row>
    <row r="23">
      <c r="A23" s="7" t="n">
        <v>46082</v>
      </c>
      <c r="B23" s="22">
        <f>SUMIFS(FacturasTable[importe_equivalente_ars],FacturasTable[mes_vencimiento],A23)</f>
        <v/>
      </c>
      <c r="C23" s="22">
        <f>SUMIFS(FacturasTable[importe_equivalente_ars],FacturasTable[mes_emision],A23)-SUMIFS(FacturasTable[saldo_equivalente_ars],FacturasTable[mes_emision],A23)</f>
        <v/>
      </c>
      <c r="D23" s="22">
        <f>SUMIFS(FacturasTable[saldo_equivalente_ars],FacturasTable[mes_emision],A23)</f>
        <v/>
      </c>
      <c r="E23" s="5">
        <f>COUNTIFS(FacturasTable[mes_emision],A23)</f>
        <v/>
      </c>
      <c r="G23" t="inlineStr">
        <is>
          <t>Unión PyME Servicios S.A.</t>
        </is>
      </c>
      <c r="H23" s="22">
        <f>+SUMIF(FacturasTable[cliente],TopClientesTable[[#This Row],[Cliente]],FacturasTable[saldo_equivalente_ars])</f>
        <v/>
      </c>
      <c r="I23" s="4">
        <f>IF($G23="","",SUMIFS(FacturasTable[saldo_pendiente],FacturasTable[cliente],$G23,FacturasTable[moneda],"USD"))</f>
        <v/>
      </c>
      <c r="J23" s="5">
        <f>+IF($G23="","",COUNTIFS(FacturasTable[cliente],$G23,FacturasTable[estado],"Vencida"))</f>
        <v/>
      </c>
    </row>
    <row r="24">
      <c r="A24" s="7" t="n">
        <v>46113</v>
      </c>
      <c r="B24" s="22">
        <f>SUMIFS(FacturasTable[importe_equivalente_ars],FacturasTable[mes_vencimiento],A24)</f>
        <v/>
      </c>
      <c r="C24" s="22">
        <f>SUMIFS(FacturasTable[importe_equivalente_ars],FacturasTable[mes_emision],A24)-SUMIFS(FacturasTable[saldo_equivalente_ars],FacturasTable[mes_emision],A24)</f>
        <v/>
      </c>
      <c r="D24" s="22">
        <f>SUMIFS(FacturasTable[saldo_equivalente_ars],FacturasTable[mes_emision],A24)</f>
        <v/>
      </c>
      <c r="E24" s="5">
        <f>COUNTIFS(FacturasTable[mes_emision],A24)</f>
        <v/>
      </c>
      <c r="G24" t="inlineStr">
        <is>
          <t>Valle Operativo S.R.L.</t>
        </is>
      </c>
      <c r="H24" s="22">
        <f>+SUMIF(FacturasTable[cliente],TopClientesTable[[#This Row],[Cliente]],FacturasTable[saldo_equivalente_ars])</f>
        <v/>
      </c>
      <c r="I24" s="4">
        <f>IF($G24="","",SUMIFS(FacturasTable[saldo_pendiente],FacturasTable[cliente],$G24,FacturasTable[moneda],"USD"))</f>
        <v/>
      </c>
      <c r="J24" s="5">
        <f>+IF($G24="","",COUNTIFS(FacturasTable[cliente],$G24,FacturasTable[estado],"Vencida"))</f>
        <v/>
      </c>
    </row>
    <row r="25">
      <c r="A25" s="7" t="n">
        <v>46143</v>
      </c>
      <c r="B25" s="22">
        <f>SUMIFS(FacturasTable[importe_equivalente_ars],FacturasTable[mes_vencimiento],A25)</f>
        <v/>
      </c>
      <c r="C25" s="22">
        <f>SUMIFS(FacturasTable[importe_equivalente_ars],FacturasTable[mes_emision],A25)-SUMIFS(FacturasTable[saldo_equivalente_ars],FacturasTable[mes_emision],A25)</f>
        <v/>
      </c>
      <c r="D25" s="22">
        <f>SUMIFS(FacturasTable[saldo_equivalente_ars],FacturasTable[mes_emision],A25)</f>
        <v/>
      </c>
      <c r="E25" s="5">
        <f>COUNTIFS(FacturasTable[mes_emision],A25)</f>
        <v/>
      </c>
      <c r="G25" t="inlineStr">
        <is>
          <t>Horizonte Servicios S.R.L.</t>
        </is>
      </c>
      <c r="H25" s="22">
        <f>+SUMIF(FacturasTable[cliente],TopClientesTable[[#This Row],[Cliente]],FacturasTable[saldo_equivalente_ars])</f>
        <v/>
      </c>
      <c r="I25" s="4">
        <f>IF($G25="","",SUMIFS(FacturasTable[saldo_pendiente],FacturasTable[cliente],$G25,FacturasTable[moneda],"USD"))</f>
        <v/>
      </c>
      <c r="J25" s="5">
        <f>+IF($G25="","",COUNTIFS(FacturasTable[cliente],$G25,FacturasTable[estado],"Vencida"))</f>
        <v/>
      </c>
    </row>
    <row r="26">
      <c r="A26" s="7" t="n">
        <v>46174</v>
      </c>
      <c r="B26" s="22">
        <f>SUMIFS(FacturasTable[importe_equivalente_ars],FacturasTable[mes_vencimiento],A26)</f>
        <v/>
      </c>
      <c r="C26" s="22">
        <f>SUMIFS(FacturasTable[importe_equivalente_ars],FacturasTable[mes_emision],A26)-SUMIFS(FacturasTable[saldo_equivalente_ars],FacturasTable[mes_emision],A26)</f>
        <v/>
      </c>
      <c r="D26" s="22">
        <f>SUMIFS(FacturasTable[saldo_equivalente_ars],FacturasTable[mes_emision],A26)</f>
        <v/>
      </c>
      <c r="E26" s="5">
        <f>COUNTIFS(FacturasTable[mes_emision],A26)</f>
        <v/>
      </c>
    </row>
    <row r="27">
      <c r="A27" s="7" t="n">
        <v>46204</v>
      </c>
      <c r="B27" s="22">
        <f>SUMIFS(FacturasTable[importe_equivalente_ars],FacturasTable[mes_vencimiento],A27)</f>
        <v/>
      </c>
      <c r="C27" s="22">
        <f>SUMIFS(FacturasTable[importe_equivalente_ars],FacturasTable[mes_emision],A27)-SUMIFS(FacturasTable[saldo_equivalente_ars],FacturasTable[mes_emision],A27)</f>
        <v/>
      </c>
      <c r="D27" s="22">
        <f>SUMIFS(FacturasTable[saldo_equivalente_ars],FacturasTable[mes_emision],A27)</f>
        <v/>
      </c>
      <c r="E27" s="5">
        <f>COUNTIFS(FacturasTable[mes_emision],A27)</f>
        <v/>
      </c>
    </row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45"/>
  <sheetViews>
    <sheetView tabSelected="1" topLeftCell="G1" workbookViewId="0">
      <selection activeCell="O1" sqref="O1"/>
    </sheetView>
  </sheetViews>
  <sheetFormatPr baseColWidth="10" defaultColWidth="9" defaultRowHeight="13.5"/>
  <cols>
    <col width="14" customWidth="1" style="29" min="1" max="1"/>
    <col width="13" customWidth="1" style="29" min="2" max="4"/>
    <col width="11" customWidth="1" style="29" min="5" max="5"/>
    <col width="28" customWidth="1" style="29" min="6" max="6"/>
    <col width="22" customWidth="1" style="29" min="7" max="7"/>
    <col width="11" customWidth="1" style="29" min="8" max="8"/>
    <col width="28" customWidth="1" style="29" min="9" max="9"/>
    <col width="9" customWidth="1" style="29" min="10" max="10"/>
    <col width="16.8125" customWidth="1" style="29" min="11" max="11"/>
    <col width="16" customWidth="1" style="29" min="12" max="13"/>
    <col width="12" customWidth="1" style="29" min="14" max="14"/>
    <col width="18" customWidth="1" style="29" min="15" max="16"/>
    <col width="13" customWidth="1" style="29" min="17" max="17"/>
    <col width="12" customWidth="1" style="29" min="18" max="18"/>
    <col width="16" customWidth="1" style="29" min="19" max="19"/>
    <col width="12" customWidth="1" style="29" min="20" max="20"/>
    <col width="24" customWidth="1" style="29" min="21" max="21"/>
    <col width="28" customWidth="1" style="29" min="22" max="22"/>
    <col width="13" customWidth="1" style="29" min="23" max="24"/>
    <col width="10" customWidth="1" style="29" min="25" max="25"/>
    <col width="12" customWidth="1" style="29" min="26" max="27"/>
    <col width="15" customWidth="1" style="29" min="28" max="28"/>
  </cols>
  <sheetData>
    <row r="1" ht="27.75" customHeight="1" s="29">
      <c r="A1" s="2" t="inlineStr">
        <is>
          <t>id_factura</t>
        </is>
      </c>
      <c r="B1" s="2" t="inlineStr">
        <is>
          <t>fecha_emision</t>
        </is>
      </c>
      <c r="C1" s="2" t="inlineStr">
        <is>
          <t>fecha_vencimiento</t>
        </is>
      </c>
      <c r="D1" s="2" t="inlineStr">
        <is>
          <t>fecha_pago</t>
        </is>
      </c>
      <c r="E1" s="2" t="inlineStr">
        <is>
          <t>id_cliente</t>
        </is>
      </c>
      <c r="F1" s="2" t="inlineStr">
        <is>
          <t>cliente</t>
        </is>
      </c>
      <c r="G1" s="2" t="inlineStr">
        <is>
          <t>tipo_cliente</t>
        </is>
      </c>
      <c r="H1" s="2" t="inlineStr">
        <is>
          <t>id_servicio</t>
        </is>
      </c>
      <c r="I1" s="2" t="inlineStr">
        <is>
          <t>tipo_servicio</t>
        </is>
      </c>
      <c r="J1" s="2" t="inlineStr">
        <is>
          <t>moneda</t>
        </is>
      </c>
      <c r="K1" s="2" t="inlineStr">
        <is>
          <t>importe_facturado</t>
        </is>
      </c>
      <c r="L1" s="2" t="inlineStr">
        <is>
          <t>importe_cobrado</t>
        </is>
      </c>
      <c r="M1" s="2" t="inlineStr">
        <is>
          <t>saldo_pendiente</t>
        </is>
      </c>
      <c r="N1" s="2" t="inlineStr">
        <is>
          <t>tipo_cambio</t>
        </is>
      </c>
      <c r="O1" s="2" t="inlineStr">
        <is>
          <t>importe_equivalente_ars</t>
        </is>
      </c>
      <c r="P1" s="2" t="inlineStr">
        <is>
          <t>saldo_equivalente_ars</t>
        </is>
      </c>
      <c r="Q1" s="2" t="inlineStr">
        <is>
          <t>estado</t>
        </is>
      </c>
      <c r="R1" s="2" t="inlineStr">
        <is>
          <t>dias_atraso</t>
        </is>
      </c>
      <c r="S1" s="2" t="inlineStr">
        <is>
          <t>prioridad_cobranza</t>
        </is>
      </c>
      <c r="T1" s="2" t="inlineStr">
        <is>
          <t>responsable</t>
        </is>
      </c>
      <c r="U1" s="2" t="inlineStr">
        <is>
          <t>proxima_accion</t>
        </is>
      </c>
      <c r="V1" s="2" t="inlineStr">
        <is>
          <t>observaciones</t>
        </is>
      </c>
      <c r="W1" s="2" t="inlineStr">
        <is>
          <t>mes_emision</t>
        </is>
      </c>
      <c r="X1" s="2" t="inlineStr">
        <is>
          <t>mes_vencimiento</t>
        </is>
      </c>
      <c r="Y1" s="2" t="inlineStr">
        <is>
          <t>trimestre</t>
        </is>
      </c>
      <c r="Z1" s="2" t="inlineStr">
        <is>
          <t>vencida_si_no</t>
        </is>
      </c>
      <c r="AA1" s="2" t="inlineStr">
        <is>
          <t>parcial_si_no</t>
        </is>
      </c>
      <c r="AB1" s="2" t="inlineStr">
        <is>
          <t>exposicion_usd_si_no</t>
        </is>
      </c>
    </row>
    <row r="2">
      <c r="A2" t="inlineStr">
        <is>
          <t>FAC-00008</t>
        </is>
      </c>
      <c r="B2" s="33" t="n">
        <v>45870</v>
      </c>
      <c r="C2" s="33" t="n">
        <v>45930</v>
      </c>
      <c r="D2" s="33" t="n">
        <v>45962</v>
      </c>
      <c r="E2" t="inlineStr">
        <is>
          <t>CL-006</t>
        </is>
      </c>
      <c r="F2" t="inlineStr">
        <is>
          <t>Delta Gestión PyME S.A.</t>
        </is>
      </c>
      <c r="G2" t="inlineStr">
        <is>
          <t>PyME servicios recurrentes</t>
        </is>
      </c>
      <c r="H2" t="inlineStr">
        <is>
          <t>SRV-001</t>
        </is>
      </c>
      <c r="I2" t="inlineStr">
        <is>
          <t>Abono mensual administrativo</t>
        </is>
      </c>
      <c r="J2" t="inlineStr">
        <is>
          <t>ARS</t>
        </is>
      </c>
      <c r="K2" t="n">
        <v>933000</v>
      </c>
      <c r="L2" t="n">
        <v>933000</v>
      </c>
      <c r="M2" t="n">
        <v>0</v>
      </c>
      <c r="N2" t="n">
        <v>1297</v>
      </c>
      <c r="O2" t="n">
        <v>0</v>
      </c>
      <c r="P2" t="n">
        <v>0</v>
      </c>
      <c r="Q2">
        <f>IF(M9&lt;=0,"Cobrada",IF(L9&gt;0,"Parcial",IF(C9&lt;Resumen!$B$3,"Vencida",IF(C9&lt;=Resumen!$B$3+15,"Por vencer","Pendiente"))))</f>
        <v/>
      </c>
      <c r="R2" t="n">
        <v>0</v>
      </c>
      <c r="S2">
        <f>IF(M9&lt;=0,"Sin prioridad",IF(R9&gt;60,"Alta",IF(R9&gt;30,"Media",IF(C9&lt;=Resumen!$B$3+15,"Media","Baja"))))</f>
        <v/>
      </c>
      <c r="T2" t="inlineStr">
        <is>
          <t>Ana</t>
        </is>
      </c>
      <c r="U2" t="inlineStr">
        <is>
          <t>Sin acción</t>
        </is>
      </c>
      <c r="V2" t="inlineStr">
        <is>
          <t>En seguimiento administrativo</t>
        </is>
      </c>
      <c r="Y2" t="inlineStr">
        <is>
          <t>2025-T3</t>
        </is>
      </c>
      <c r="Z2">
        <f>IF(AND(M9&gt;0,C9&lt;Resumen!$B$3),"Sí","No")</f>
        <v/>
      </c>
      <c r="AA2">
        <f>IF(AND(L9&gt;0,M9&gt;0),"Sí","No")</f>
        <v/>
      </c>
      <c r="AB2">
        <f>IF(J9="USD","Sí","No")</f>
        <v/>
      </c>
    </row>
    <row r="3">
      <c r="A3" t="inlineStr">
        <is>
          <t>FAC-00022</t>
        </is>
      </c>
      <c r="B3" s="33" t="n">
        <v>45876</v>
      </c>
      <c r="C3" s="33" t="n">
        <v>45891</v>
      </c>
      <c r="D3" s="33" t="n">
        <v>45899</v>
      </c>
      <c r="E3" t="inlineStr">
        <is>
          <t>CL-001</t>
        </is>
      </c>
      <c r="F3" t="inlineStr">
        <is>
          <t>Altos del Centro S.R.L.</t>
        </is>
      </c>
      <c r="G3" t="inlineStr">
        <is>
          <t>PyME servicios recurrentes</t>
        </is>
      </c>
      <c r="H3" t="inlineStr">
        <is>
          <t>SRV-001</t>
        </is>
      </c>
      <c r="I3" t="inlineStr">
        <is>
          <t>Abono mensual administrativo</t>
        </is>
      </c>
      <c r="J3" t="inlineStr">
        <is>
          <t>USD</t>
        </is>
      </c>
      <c r="K3" t="n">
        <v>300</v>
      </c>
      <c r="L3" t="n">
        <v>300</v>
      </c>
      <c r="M3" t="n">
        <v>0</v>
      </c>
      <c r="N3" t="n">
        <v>1297</v>
      </c>
      <c r="O3" t="n">
        <v>0</v>
      </c>
      <c r="P3" t="n">
        <v>0</v>
      </c>
      <c r="Q3">
        <f>IF(M23&lt;=0,"Cobrada",IF(L23&gt;0,"Parcial",IF(C23&lt;Resumen!$B$3,"Vencida",IF(C23&lt;=Resumen!$B$3+15,"Por vencer","Pendiente"))))</f>
        <v/>
      </c>
      <c r="R3" t="n">
        <v>0</v>
      </c>
      <c r="S3">
        <f>IF(M23&lt;=0,"Sin prioridad",IF(R23&gt;60,"Alta",IF(R23&gt;30,"Media",IF(C23&lt;=Resumen!$B$3+15,"Media","Baja"))))</f>
        <v/>
      </c>
      <c r="T3" t="inlineStr">
        <is>
          <t>Carlos</t>
        </is>
      </c>
      <c r="U3" t="inlineStr">
        <is>
          <t>Sin acción</t>
        </is>
      </c>
      <c r="V3" t="inlineStr">
        <is>
          <t>Pendiente de confirmación de pago</t>
        </is>
      </c>
      <c r="Y3" t="inlineStr">
        <is>
          <t>2025-T3</t>
        </is>
      </c>
      <c r="Z3">
        <f>IF(AND(M23&gt;0,C23&lt;Resumen!$B$3),"Sí","No")</f>
        <v/>
      </c>
      <c r="AA3">
        <f>IF(AND(L23&gt;0,M23&gt;0),"Sí","No")</f>
        <v/>
      </c>
      <c r="AB3">
        <f>IF(J23="USD","Sí","No")</f>
        <v/>
      </c>
    </row>
    <row r="4">
      <c r="A4" t="inlineStr">
        <is>
          <t>FAC-00005</t>
        </is>
      </c>
      <c r="B4" s="33" t="n">
        <v>45878</v>
      </c>
      <c r="C4" s="33" t="n">
        <v>45923</v>
      </c>
      <c r="D4" s="33" t="n">
        <v>45927</v>
      </c>
      <c r="E4" t="inlineStr">
        <is>
          <t>CL-007</t>
        </is>
      </c>
      <c r="F4" t="inlineStr">
        <is>
          <t>Eje Comercial S.R.L.</t>
        </is>
      </c>
      <c r="G4" t="inlineStr">
        <is>
          <t>PyME servicios recurrentes</t>
        </is>
      </c>
      <c r="H4" t="inlineStr">
        <is>
          <t>SRV-001</t>
        </is>
      </c>
      <c r="I4" t="inlineStr">
        <is>
          <t>Abono mensual administrativo</t>
        </is>
      </c>
      <c r="J4" t="inlineStr">
        <is>
          <t>ARS</t>
        </is>
      </c>
      <c r="K4" t="n">
        <v>402000</v>
      </c>
      <c r="L4" t="n">
        <v>402000</v>
      </c>
      <c r="M4" t="n">
        <v>0</v>
      </c>
      <c r="N4" t="n">
        <v>1297</v>
      </c>
      <c r="O4" t="n">
        <v>0</v>
      </c>
      <c r="P4" t="n">
        <v>0</v>
      </c>
      <c r="Q4">
        <f>IF(M6&lt;=0,"Cobrada",IF(L6&gt;0,"Parcial",IF(C6&lt;Resumen!$B$3,"Vencida",IF(C6&lt;=Resumen!$B$3+15,"Por vencer","Pendiente"))))</f>
        <v/>
      </c>
      <c r="R4" t="n">
        <v>0</v>
      </c>
      <c r="S4">
        <f>IF(M6&lt;=0,"Sin prioridad",IF(R6&gt;60,"Alta",IF(R6&gt;30,"Media",IF(C6&lt;=Resumen!$B$3+15,"Media","Baja"))))</f>
        <v/>
      </c>
      <c r="T4" t="inlineStr">
        <is>
          <t>Matías</t>
        </is>
      </c>
      <c r="U4" t="inlineStr">
        <is>
          <t>Sin acción</t>
        </is>
      </c>
      <c r="V4" t="inlineStr">
        <is>
          <t>Pago prometido para próxima semana</t>
        </is>
      </c>
      <c r="Y4" t="inlineStr">
        <is>
          <t>2025-T3</t>
        </is>
      </c>
      <c r="Z4">
        <f>IF(AND(M6&gt;0,C6&lt;Resumen!$B$3),"Sí","No")</f>
        <v/>
      </c>
      <c r="AA4">
        <f>IF(AND(L6&gt;0,M6&gt;0),"Sí","No")</f>
        <v/>
      </c>
      <c r="AB4">
        <f>IF(J6="USD","Sí","No")</f>
        <v/>
      </c>
    </row>
    <row r="5">
      <c r="A5" t="inlineStr">
        <is>
          <t>FAC-00012</t>
        </is>
      </c>
      <c r="B5" s="33" t="n">
        <v>45878</v>
      </c>
      <c r="C5" s="33" t="n">
        <v>45908</v>
      </c>
      <c r="D5" s="33" t="n">
        <v>45912</v>
      </c>
      <c r="E5" t="inlineStr">
        <is>
          <t>CL-009</t>
        </is>
      </c>
      <c r="F5" t="inlineStr">
        <is>
          <t>Grupo Nexo PyME S.A.</t>
        </is>
      </c>
      <c r="G5" t="inlineStr">
        <is>
          <t>PyME servicios recurrentes</t>
        </is>
      </c>
      <c r="H5" t="inlineStr">
        <is>
          <t>SRV-002</t>
        </is>
      </c>
      <c r="I5" t="inlineStr">
        <is>
          <t>Soporte operativo</t>
        </is>
      </c>
      <c r="J5" t="inlineStr">
        <is>
          <t>ARS</t>
        </is>
      </c>
      <c r="K5" t="n">
        <v>817000</v>
      </c>
      <c r="L5" t="n">
        <v>817000</v>
      </c>
      <c r="M5" t="n">
        <v>0</v>
      </c>
      <c r="N5" t="n">
        <v>1297</v>
      </c>
      <c r="O5" t="n">
        <v>0</v>
      </c>
      <c r="P5" t="n">
        <v>0</v>
      </c>
      <c r="Q5">
        <f>IF(M13&lt;=0,"Cobrada",IF(L13&gt;0,"Parcial",IF(C13&lt;Resumen!$B$3,"Vencida",IF(C13&lt;=Resumen!$B$3+15,"Por vencer","Pendiente"))))</f>
        <v/>
      </c>
      <c r="R5" t="n">
        <v>0</v>
      </c>
      <c r="S5">
        <f>IF(M13&lt;=0,"Sin prioridad",IF(R13&gt;60,"Alta",IF(R13&gt;30,"Media",IF(C13&lt;=Resumen!$B$3+15,"Media","Baja"))))</f>
        <v/>
      </c>
      <c r="T5" t="inlineStr">
        <is>
          <t>Ana</t>
        </is>
      </c>
      <c r="U5" t="inlineStr">
        <is>
          <t>Sin acción</t>
        </is>
      </c>
      <c r="Y5" t="inlineStr">
        <is>
          <t>2025-T3</t>
        </is>
      </c>
      <c r="Z5">
        <f>IF(AND(M13&gt;0,C13&lt;Resumen!$B$3),"Sí","No")</f>
        <v/>
      </c>
      <c r="AA5">
        <f>IF(AND(L13&gt;0,M13&gt;0),"Sí","No")</f>
        <v/>
      </c>
      <c r="AB5">
        <f>IF(J13="USD","Sí","No")</f>
        <v/>
      </c>
    </row>
    <row r="6">
      <c r="A6" t="inlineStr">
        <is>
          <t>FAC-00023</t>
        </is>
      </c>
      <c r="B6" s="33" t="n">
        <v>45878</v>
      </c>
      <c r="C6" s="33" t="n">
        <v>45923</v>
      </c>
      <c r="D6" s="33" t="n">
        <v>45923</v>
      </c>
      <c r="E6" t="inlineStr">
        <is>
          <t>CL-014</t>
        </is>
      </c>
      <c r="F6" t="inlineStr">
        <is>
          <t>Norte Gestión Integral S.R.L.</t>
        </is>
      </c>
      <c r="G6" t="inlineStr">
        <is>
          <t>PyME servicios recurrentes</t>
        </is>
      </c>
      <c r="H6" t="inlineStr">
        <is>
          <t>SRV-003</t>
        </is>
      </c>
      <c r="I6" t="inlineStr">
        <is>
          <t>Consultoría de gestión</t>
        </is>
      </c>
      <c r="J6" t="inlineStr">
        <is>
          <t>USD</t>
        </is>
      </c>
      <c r="K6" t="n">
        <v>2300</v>
      </c>
      <c r="L6" t="n">
        <v>2300</v>
      </c>
      <c r="M6" t="n">
        <v>0</v>
      </c>
      <c r="N6" t="n">
        <v>1297</v>
      </c>
      <c r="O6" t="n">
        <v>0</v>
      </c>
      <c r="P6" t="n">
        <v>0</v>
      </c>
      <c r="Q6">
        <f>IF(M24&lt;=0,"Cobrada",IF(L24&gt;0,"Parcial",IF(C24&lt;Resumen!$B$3,"Vencida",IF(C24&lt;=Resumen!$B$3+15,"Por vencer","Pendiente"))))</f>
        <v/>
      </c>
      <c r="R6" t="n">
        <v>0</v>
      </c>
      <c r="S6">
        <f>IF(M24&lt;=0,"Sin prioridad",IF(R24&gt;60,"Alta",IF(R24&gt;30,"Media",IF(C24&lt;=Resumen!$B$3+15,"Media","Baja"))))</f>
        <v/>
      </c>
      <c r="T6" t="inlineStr">
        <is>
          <t>Carlos</t>
        </is>
      </c>
      <c r="U6" t="inlineStr">
        <is>
          <t>Sin acción</t>
        </is>
      </c>
      <c r="V6" t="inlineStr">
        <is>
          <t>Pendiente de confirmación de pago</t>
        </is>
      </c>
      <c r="Y6" t="inlineStr">
        <is>
          <t>2025-T3</t>
        </is>
      </c>
      <c r="Z6">
        <f>IF(AND(M24&gt;0,C24&lt;Resumen!$B$3),"Sí","No")</f>
        <v/>
      </c>
      <c r="AA6">
        <f>IF(AND(L24&gt;0,M24&gt;0),"Sí","No")</f>
        <v/>
      </c>
      <c r="AB6">
        <f>IF(J24="USD","Sí","No")</f>
        <v/>
      </c>
    </row>
    <row r="7">
      <c r="A7" t="inlineStr">
        <is>
          <t>FAC-00003</t>
        </is>
      </c>
      <c r="B7" s="33" t="n">
        <v>45880</v>
      </c>
      <c r="C7" s="33" t="n">
        <v>45895</v>
      </c>
      <c r="D7" s="33" t="n">
        <v>45891</v>
      </c>
      <c r="E7" t="inlineStr">
        <is>
          <t>CL-011</t>
        </is>
      </c>
      <c r="F7" t="inlineStr">
        <is>
          <t>Impulso Gestión S.A.S.</t>
        </is>
      </c>
      <c r="G7" t="inlineStr">
        <is>
          <t>PyME servicios recurrentes</t>
        </is>
      </c>
      <c r="H7" t="inlineStr">
        <is>
          <t>SRV-002</t>
        </is>
      </c>
      <c r="I7" t="inlineStr">
        <is>
          <t>Soporte operativo</t>
        </is>
      </c>
      <c r="J7" t="inlineStr">
        <is>
          <t>ARS</t>
        </is>
      </c>
      <c r="K7" t="n">
        <v>447000</v>
      </c>
      <c r="L7" t="n">
        <v>447000</v>
      </c>
      <c r="M7" t="n">
        <v>0</v>
      </c>
      <c r="N7" t="n">
        <v>1297</v>
      </c>
      <c r="O7" t="n">
        <v>0</v>
      </c>
      <c r="P7" t="n">
        <v>0</v>
      </c>
      <c r="Q7">
        <f>IF(M4&lt;=0,"Cobrada",IF(L4&gt;0,"Parcial",IF(C4&lt;Resumen!$B$3,"Vencida",IF(C4&lt;=Resumen!$B$3+15,"Por vencer","Pendiente"))))</f>
        <v/>
      </c>
      <c r="R7" t="n">
        <v>0</v>
      </c>
      <c r="S7">
        <f>IF(M4&lt;=0,"Sin prioridad",IF(R4&gt;60,"Alta",IF(R4&gt;30,"Media",IF(C4&lt;=Resumen!$B$3+15,"Media","Baja"))))</f>
        <v/>
      </c>
      <c r="T7" t="inlineStr">
        <is>
          <t>Carlos</t>
        </is>
      </c>
      <c r="U7" t="inlineStr">
        <is>
          <t>Sin acción</t>
        </is>
      </c>
      <c r="V7" t="inlineStr">
        <is>
          <t>Cliente solicita reenvío de factura</t>
        </is>
      </c>
      <c r="Y7" t="inlineStr">
        <is>
          <t>2025-T3</t>
        </is>
      </c>
      <c r="Z7">
        <f>IF(AND(M4&gt;0,C4&lt;Resumen!$B$3),"Sí","No")</f>
        <v/>
      </c>
      <c r="AA7">
        <f>IF(AND(L4&gt;0,M4&gt;0),"Sí","No")</f>
        <v/>
      </c>
      <c r="AB7">
        <f>IF(J4="USD","Sí","No")</f>
        <v/>
      </c>
    </row>
    <row r="8">
      <c r="A8" t="inlineStr">
        <is>
          <t>FAC-00017</t>
        </is>
      </c>
      <c r="B8" s="33" t="n">
        <v>45880</v>
      </c>
      <c r="C8" s="33" t="n">
        <v>45895</v>
      </c>
      <c r="D8" s="33" t="n">
        <v>45939</v>
      </c>
      <c r="E8" t="inlineStr">
        <is>
          <t>CL-017</t>
        </is>
      </c>
      <c r="F8" t="inlineStr">
        <is>
          <t>Punto Sur S.A.</t>
        </is>
      </c>
      <c r="G8" t="inlineStr">
        <is>
          <t>PyME servicios recurrentes</t>
        </is>
      </c>
      <c r="H8" t="inlineStr">
        <is>
          <t>SRV-001</t>
        </is>
      </c>
      <c r="I8" t="inlineStr">
        <is>
          <t>Abono mensual administrativo</t>
        </is>
      </c>
      <c r="J8" t="inlineStr">
        <is>
          <t>ARS</t>
        </is>
      </c>
      <c r="K8" t="n">
        <v>503000</v>
      </c>
      <c r="L8" t="n">
        <v>503000</v>
      </c>
      <c r="M8" t="n">
        <v>0</v>
      </c>
      <c r="N8" t="n">
        <v>1297</v>
      </c>
      <c r="O8" t="n">
        <v>0</v>
      </c>
      <c r="P8" t="n">
        <v>0</v>
      </c>
      <c r="Q8">
        <f>IF(M18&lt;=0,"Cobrada",IF(L18&gt;0,"Parcial",IF(C18&lt;Resumen!$B$3,"Vencida",IF(C18&lt;=Resumen!$B$3+15,"Por vencer","Pendiente"))))</f>
        <v/>
      </c>
      <c r="R8" t="n">
        <v>0</v>
      </c>
      <c r="S8">
        <f>IF(M18&lt;=0,"Sin prioridad",IF(R18&gt;60,"Alta",IF(R18&gt;30,"Media",IF(C18&lt;=Resumen!$B$3+15,"Media","Baja"))))</f>
        <v/>
      </c>
      <c r="T8" t="inlineStr">
        <is>
          <t>Sofía</t>
        </is>
      </c>
      <c r="U8" t="inlineStr">
        <is>
          <t>Sin acción</t>
        </is>
      </c>
      <c r="V8" t="inlineStr">
        <is>
          <t>Pago prometido para próxima semana</t>
        </is>
      </c>
      <c r="Y8" t="inlineStr">
        <is>
          <t>2025-T3</t>
        </is>
      </c>
      <c r="Z8">
        <f>IF(AND(M18&gt;0,C18&lt;Resumen!$B$3),"Sí","No")</f>
        <v/>
      </c>
      <c r="AA8">
        <f>IF(AND(L18&gt;0,M18&gt;0),"Sí","No")</f>
        <v/>
      </c>
      <c r="AB8">
        <f>IF(J18="USD","Sí","No")</f>
        <v/>
      </c>
    </row>
    <row r="9">
      <c r="A9" t="inlineStr">
        <is>
          <t>FAC-00019</t>
        </is>
      </c>
      <c r="B9" s="33" t="n">
        <v>45880</v>
      </c>
      <c r="C9" s="33" t="n">
        <v>45925</v>
      </c>
      <c r="D9" s="33" t="n">
        <v>45962</v>
      </c>
      <c r="E9" t="inlineStr">
        <is>
          <t>CL-024</t>
        </is>
      </c>
      <c r="F9" t="inlineStr">
        <is>
          <t>Zonda Gestión S.R.L.</t>
        </is>
      </c>
      <c r="G9" t="inlineStr">
        <is>
          <t>PyME servicios recurrentes</t>
        </is>
      </c>
      <c r="H9" t="inlineStr">
        <is>
          <t>SRV-005</t>
        </is>
      </c>
      <c r="I9" t="inlineStr">
        <is>
          <t>Servicio extraordinario puntual</t>
        </is>
      </c>
      <c r="J9" t="inlineStr">
        <is>
          <t>ARS</t>
        </is>
      </c>
      <c r="K9" t="n">
        <v>742000</v>
      </c>
      <c r="L9" t="n">
        <v>299304.39</v>
      </c>
      <c r="M9" t="n">
        <v>0</v>
      </c>
      <c r="N9" t="n">
        <v>1297</v>
      </c>
      <c r="O9" t="n">
        <v>0</v>
      </c>
      <c r="P9" t="n">
        <v>0</v>
      </c>
      <c r="Q9">
        <f>IF(M20&lt;=0,"Cobrada",IF(L20&gt;0,"Parcial",IF(C20&lt;Resumen!$B$3,"Vencida",IF(C20&lt;=Resumen!$B$3+15,"Por vencer","Pendiente"))))</f>
        <v/>
      </c>
      <c r="R9" t="n">
        <v>0</v>
      </c>
      <c r="S9">
        <f>IF(M20&lt;=0,"Sin prioridad",IF(R20&gt;60,"Alta",IF(R20&gt;30,"Media",IF(C20&lt;=Resumen!$B$3+15,"Media","Baja"))))</f>
        <v/>
      </c>
      <c r="T9" t="inlineStr">
        <is>
          <t>Sofía</t>
        </is>
      </c>
      <c r="U9" t="inlineStr">
        <is>
          <t>Reclamar saldo parcial</t>
        </is>
      </c>
      <c r="Y9" t="inlineStr">
        <is>
          <t>2025-T3</t>
        </is>
      </c>
      <c r="Z9">
        <f>IF(AND(M20&gt;0,C20&lt;Resumen!$B$3),"Sí","No")</f>
        <v/>
      </c>
      <c r="AA9">
        <f>IF(AND(L20&gt;0,M20&gt;0),"Sí","No")</f>
        <v/>
      </c>
      <c r="AB9">
        <f>IF(J20="USD","Sí","No")</f>
        <v/>
      </c>
    </row>
    <row r="10">
      <c r="A10" t="inlineStr">
        <is>
          <t>FAC-00009</t>
        </is>
      </c>
      <c r="B10" s="33" t="n">
        <v>45881</v>
      </c>
      <c r="C10" s="33" t="n">
        <v>45926</v>
      </c>
      <c r="E10" t="inlineStr">
        <is>
          <t>CL-007</t>
        </is>
      </c>
      <c r="F10" t="inlineStr">
        <is>
          <t>Eje Comercial S.R.L.</t>
        </is>
      </c>
      <c r="G10" t="inlineStr">
        <is>
          <t>PyME servicios recurrentes</t>
        </is>
      </c>
      <c r="H10" t="inlineStr">
        <is>
          <t>SRV-002</t>
        </is>
      </c>
      <c r="I10" t="inlineStr">
        <is>
          <t>Soporte operativo</t>
        </is>
      </c>
      <c r="J10" t="inlineStr">
        <is>
          <t>ARS</t>
        </is>
      </c>
      <c r="K10" t="n">
        <v>515000</v>
      </c>
      <c r="L10" t="n">
        <v>0</v>
      </c>
      <c r="M10" t="n">
        <v>0</v>
      </c>
      <c r="N10" t="n">
        <v>1297</v>
      </c>
      <c r="O10" t="n">
        <v>0</v>
      </c>
      <c r="P10" t="n">
        <v>0</v>
      </c>
      <c r="Q10">
        <f>IF(M10&lt;=0,"Cobrada",IF(L10&gt;0,"Parcial",IF(C10&lt;Resumen!$B$3,"Vencida",IF(C10&lt;=Resumen!$B$3+15,"Por vencer","Pendiente"))))</f>
        <v/>
      </c>
      <c r="R10" t="n">
        <v>0</v>
      </c>
      <c r="S10">
        <f>IF(M10&lt;=0,"Sin prioridad",IF(R10&gt;60,"Alta",IF(R10&gt;30,"Media",IF(C10&lt;=Resumen!$B$3+15,"Media","Baja"))))</f>
        <v/>
      </c>
      <c r="T10" t="inlineStr">
        <is>
          <t>Matías</t>
        </is>
      </c>
      <c r="U10" t="inlineStr">
        <is>
          <t>Escalar gestión</t>
        </is>
      </c>
      <c r="V10" t="inlineStr">
        <is>
          <t>Sin respuesta del cliente</t>
        </is>
      </c>
      <c r="Y10" t="inlineStr">
        <is>
          <t>2025-T3</t>
        </is>
      </c>
      <c r="Z10">
        <f>IF(AND(M10&gt;0,C10&lt;Resumen!$B$3),"Sí","No")</f>
        <v/>
      </c>
      <c r="AA10">
        <f>IF(AND(L10&gt;0,M10&gt;0),"Sí","No")</f>
        <v/>
      </c>
      <c r="AB10">
        <f>IF(J10="USD","Sí","No")</f>
        <v/>
      </c>
    </row>
    <row r="11">
      <c r="A11" t="inlineStr">
        <is>
          <t>FAC-00013</t>
        </is>
      </c>
      <c r="B11" s="33" t="n">
        <v>45882</v>
      </c>
      <c r="C11" s="33" t="n">
        <v>45927</v>
      </c>
      <c r="D11" s="33" t="n">
        <v>45961</v>
      </c>
      <c r="E11" t="inlineStr">
        <is>
          <t>CL-010</t>
        </is>
      </c>
      <c r="F11" t="inlineStr">
        <is>
          <t>Horizonte Servicios S.R.L.</t>
        </is>
      </c>
      <c r="G11" t="inlineStr">
        <is>
          <t>PyME servicios recurrentes</t>
        </is>
      </c>
      <c r="H11" t="inlineStr">
        <is>
          <t>SRV-002</t>
        </is>
      </c>
      <c r="I11" t="inlineStr">
        <is>
          <t>Soporte operativo</t>
        </is>
      </c>
      <c r="J11" t="inlineStr">
        <is>
          <t>ARS</t>
        </is>
      </c>
      <c r="K11" t="n">
        <v>752000</v>
      </c>
      <c r="L11" t="n">
        <v>280330.49</v>
      </c>
      <c r="M11" t="n">
        <v>0</v>
      </c>
      <c r="N11" t="n">
        <v>1297</v>
      </c>
      <c r="O11" t="n">
        <v>0</v>
      </c>
      <c r="P11" t="n">
        <v>0</v>
      </c>
      <c r="Q11">
        <f>IF(M14&lt;=0,"Cobrada",IF(L14&gt;0,"Parcial",IF(C14&lt;Resumen!$B$3,"Vencida",IF(C14&lt;=Resumen!$B$3+15,"Por vencer","Pendiente"))))</f>
        <v/>
      </c>
      <c r="R11" t="n">
        <v>0</v>
      </c>
      <c r="S11">
        <f>IF(M14&lt;=0,"Sin prioridad",IF(R14&gt;60,"Alta",IF(R14&gt;30,"Media",IF(C14&lt;=Resumen!$B$3+15,"Media","Baja"))))</f>
        <v/>
      </c>
      <c r="T11" t="inlineStr">
        <is>
          <t>Matías</t>
        </is>
      </c>
      <c r="U11" t="inlineStr">
        <is>
          <t>Reclamar saldo parcial</t>
        </is>
      </c>
      <c r="V11" t="inlineStr">
        <is>
          <t>Pendiente de confirmación de pago</t>
        </is>
      </c>
      <c r="Y11" t="inlineStr">
        <is>
          <t>2025-T3</t>
        </is>
      </c>
      <c r="Z11">
        <f>IF(AND(M14&gt;0,C14&lt;Resumen!$B$3),"Sí","No")</f>
        <v/>
      </c>
      <c r="AA11">
        <f>IF(AND(L14&gt;0,M14&gt;0),"Sí","No")</f>
        <v/>
      </c>
      <c r="AB11">
        <f>IF(J14="USD","Sí","No")</f>
        <v/>
      </c>
    </row>
    <row r="12">
      <c r="A12" t="inlineStr">
        <is>
          <t>FAC-00014</t>
        </is>
      </c>
      <c r="B12" s="33" t="n">
        <v>45882</v>
      </c>
      <c r="C12" s="33" t="n">
        <v>45897</v>
      </c>
      <c r="D12" s="33" t="n">
        <v>45914</v>
      </c>
      <c r="E12" t="inlineStr">
        <is>
          <t>CL-003</t>
        </is>
      </c>
      <c r="F12" t="inlineStr">
        <is>
          <t>Arco Norte S.R.L.</t>
        </is>
      </c>
      <c r="G12" t="inlineStr">
        <is>
          <t>PyME servicios recurrentes</t>
        </is>
      </c>
      <c r="H12" t="inlineStr">
        <is>
          <t>SRV-005</t>
        </is>
      </c>
      <c r="I12" t="inlineStr">
        <is>
          <t>Servicio extraordinario puntual</t>
        </is>
      </c>
      <c r="J12" t="inlineStr">
        <is>
          <t>ARS</t>
        </is>
      </c>
      <c r="K12" t="n">
        <v>1136000</v>
      </c>
      <c r="L12" t="n">
        <v>1136000</v>
      </c>
      <c r="M12" t="n">
        <v>0</v>
      </c>
      <c r="N12" t="n">
        <v>1297</v>
      </c>
      <c r="O12" t="n">
        <v>0</v>
      </c>
      <c r="P12" t="n">
        <v>0</v>
      </c>
      <c r="Q12">
        <f>IF(M15&lt;=0,"Cobrada",IF(L15&gt;0,"Parcial",IF(C15&lt;Resumen!$B$3,"Vencida",IF(C15&lt;=Resumen!$B$3+15,"Por vencer","Pendiente"))))</f>
        <v/>
      </c>
      <c r="R12" t="n">
        <v>0</v>
      </c>
      <c r="S12">
        <f>IF(M15&lt;=0,"Sin prioridad",IF(R15&gt;60,"Alta",IF(R15&gt;30,"Media",IF(C15&lt;=Resumen!$B$3+15,"Media","Baja"))))</f>
        <v/>
      </c>
      <c r="T12" t="inlineStr">
        <is>
          <t>Sofía</t>
        </is>
      </c>
      <c r="U12" t="inlineStr">
        <is>
          <t>Sin acción</t>
        </is>
      </c>
      <c r="V12" t="inlineStr">
        <is>
          <t>Pendiente de confirmación de pago</t>
        </is>
      </c>
      <c r="Y12" t="inlineStr">
        <is>
          <t>2025-T3</t>
        </is>
      </c>
      <c r="Z12">
        <f>IF(AND(M15&gt;0,C15&lt;Resumen!$B$3),"Sí","No")</f>
        <v/>
      </c>
      <c r="AA12">
        <f>IF(AND(L15&gt;0,M15&gt;0),"Sí","No")</f>
        <v/>
      </c>
      <c r="AB12">
        <f>IF(J15="USD","Sí","No")</f>
        <v/>
      </c>
    </row>
    <row r="13">
      <c r="A13" t="inlineStr">
        <is>
          <t>FAC-00020</t>
        </is>
      </c>
      <c r="B13" s="33" t="n">
        <v>45882</v>
      </c>
      <c r="C13" s="33" t="n">
        <v>45897</v>
      </c>
      <c r="D13" s="33" t="n">
        <v>45909</v>
      </c>
      <c r="E13" t="inlineStr">
        <is>
          <t>CL-003</t>
        </is>
      </c>
      <c r="F13" t="inlineStr">
        <is>
          <t>Arco Norte S.R.L.</t>
        </is>
      </c>
      <c r="G13" t="inlineStr">
        <is>
          <t>PyME servicios recurrentes</t>
        </is>
      </c>
      <c r="H13" t="inlineStr">
        <is>
          <t>SRV-001</t>
        </is>
      </c>
      <c r="I13" t="inlineStr">
        <is>
          <t>Abono mensual administrativo</t>
        </is>
      </c>
      <c r="J13" t="inlineStr">
        <is>
          <t>ARS</t>
        </is>
      </c>
      <c r="K13" t="n">
        <v>404000</v>
      </c>
      <c r="L13" t="n">
        <v>404000</v>
      </c>
      <c r="M13" t="n">
        <v>0</v>
      </c>
      <c r="N13" t="n">
        <v>1297</v>
      </c>
      <c r="O13" t="n">
        <v>0</v>
      </c>
      <c r="P13" t="n">
        <v>0</v>
      </c>
      <c r="Q13">
        <f>IF(M21&lt;=0,"Cobrada",IF(L21&gt;0,"Parcial",IF(C21&lt;Resumen!$B$3,"Vencida",IF(C21&lt;=Resumen!$B$3+15,"Por vencer","Pendiente"))))</f>
        <v/>
      </c>
      <c r="R13" t="n">
        <v>0</v>
      </c>
      <c r="S13">
        <f>IF(M21&lt;=0,"Sin prioridad",IF(R21&gt;60,"Alta",IF(R21&gt;30,"Media",IF(C21&lt;=Resumen!$B$3+15,"Media","Baja"))))</f>
        <v/>
      </c>
      <c r="T13" t="inlineStr">
        <is>
          <t>Sofía</t>
        </is>
      </c>
      <c r="U13" t="inlineStr">
        <is>
          <t>Sin acción</t>
        </is>
      </c>
      <c r="V13" t="inlineStr">
        <is>
          <t>Sin respuesta del cliente</t>
        </is>
      </c>
      <c r="Y13" t="inlineStr">
        <is>
          <t>2025-T3</t>
        </is>
      </c>
      <c r="Z13">
        <f>IF(AND(M21&gt;0,C21&lt;Resumen!$B$3),"Sí","No")</f>
        <v/>
      </c>
      <c r="AA13">
        <f>IF(AND(L21&gt;0,M21&gt;0),"Sí","No")</f>
        <v/>
      </c>
      <c r="AB13">
        <f>IF(J21="USD","Sí","No")</f>
        <v/>
      </c>
    </row>
    <row r="14">
      <c r="A14" t="inlineStr">
        <is>
          <t>FAC-00024</t>
        </is>
      </c>
      <c r="B14" s="33" t="n">
        <v>45882</v>
      </c>
      <c r="C14" s="33" t="n">
        <v>45927</v>
      </c>
      <c r="E14" t="inlineStr">
        <is>
          <t>CL-010</t>
        </is>
      </c>
      <c r="F14" t="inlineStr">
        <is>
          <t>Horizonte Servicios S.R.L.</t>
        </is>
      </c>
      <c r="G14" t="inlineStr">
        <is>
          <t>PyME servicios recurrentes</t>
        </is>
      </c>
      <c r="H14" t="inlineStr">
        <is>
          <t>SRV-001</t>
        </is>
      </c>
      <c r="I14" t="inlineStr">
        <is>
          <t>Abono mensual administrativo</t>
        </is>
      </c>
      <c r="J14" t="inlineStr">
        <is>
          <t>ARS</t>
        </is>
      </c>
      <c r="K14" t="n">
        <v>521000</v>
      </c>
      <c r="L14" t="n">
        <v>0</v>
      </c>
      <c r="M14" t="n">
        <v>0</v>
      </c>
      <c r="N14" t="n">
        <v>1297</v>
      </c>
      <c r="O14" t="n">
        <v>0</v>
      </c>
      <c r="P14" t="n">
        <v>0</v>
      </c>
      <c r="Q14">
        <f>IF(M25&lt;=0,"Cobrada",IF(L25&gt;0,"Parcial",IF(C25&lt;Resumen!$B$3,"Vencida",IF(C25&lt;=Resumen!$B$3+15,"Por vencer","Pendiente"))))</f>
        <v/>
      </c>
      <c r="R14" t="n">
        <v>0</v>
      </c>
      <c r="S14">
        <f>IF(M25&lt;=0,"Sin prioridad",IF(R25&gt;60,"Alta",IF(R25&gt;30,"Media",IF(C25&lt;=Resumen!$B$3+15,"Media","Baja"))))</f>
        <v/>
      </c>
      <c r="T14" t="inlineStr">
        <is>
          <t>Matías</t>
        </is>
      </c>
      <c r="U14" t="inlineStr">
        <is>
          <t>Escalar gestión</t>
        </is>
      </c>
      <c r="V14" t="inlineStr">
        <is>
          <t>Cliente solicita reenvío de factura</t>
        </is>
      </c>
      <c r="Y14" t="inlineStr">
        <is>
          <t>2025-T3</t>
        </is>
      </c>
      <c r="Z14">
        <f>IF(AND(M25&gt;0,C25&lt;Resumen!$B$3),"Sí","No")</f>
        <v/>
      </c>
      <c r="AA14">
        <f>IF(AND(L25&gt;0,M25&gt;0),"Sí","No")</f>
        <v/>
      </c>
      <c r="AB14">
        <f>IF(J25="USD","Sí","No")</f>
        <v/>
      </c>
    </row>
    <row r="15">
      <c r="A15" t="inlineStr">
        <is>
          <t>FAC-00011</t>
        </is>
      </c>
      <c r="B15" s="33" t="n">
        <v>45883</v>
      </c>
      <c r="C15" s="33" t="n">
        <v>45913</v>
      </c>
      <c r="D15" s="33" t="n">
        <v>45918</v>
      </c>
      <c r="E15" t="inlineStr">
        <is>
          <t>CL-009</t>
        </is>
      </c>
      <c r="F15" t="inlineStr">
        <is>
          <t>Grupo Nexo PyME S.A.</t>
        </is>
      </c>
      <c r="G15" t="inlineStr">
        <is>
          <t>PyME servicios recurrentes</t>
        </is>
      </c>
      <c r="H15" t="inlineStr">
        <is>
          <t>SRV-001</t>
        </is>
      </c>
      <c r="I15" t="inlineStr">
        <is>
          <t>Abono mensual administrativo</t>
        </is>
      </c>
      <c r="J15" t="inlineStr">
        <is>
          <t>ARS</t>
        </is>
      </c>
      <c r="K15" t="n">
        <v>899000</v>
      </c>
      <c r="L15" t="n">
        <v>899000</v>
      </c>
      <c r="M15" t="n">
        <v>0</v>
      </c>
      <c r="N15" t="n">
        <v>1297</v>
      </c>
      <c r="O15" t="n">
        <v>0</v>
      </c>
      <c r="P15" t="n">
        <v>0</v>
      </c>
      <c r="Q15">
        <f>IF(M12&lt;=0,"Cobrada",IF(L12&gt;0,"Parcial",IF(C12&lt;Resumen!$B$3,"Vencida",IF(C12&lt;=Resumen!$B$3+15,"Por vencer","Pendiente"))))</f>
        <v/>
      </c>
      <c r="R15" t="n">
        <v>0</v>
      </c>
      <c r="S15">
        <f>IF(M12&lt;=0,"Sin prioridad",IF(R12&gt;60,"Alta",IF(R12&gt;30,"Media",IF(C12&lt;=Resumen!$B$3+15,"Media","Baja"))))</f>
        <v/>
      </c>
      <c r="T15" t="inlineStr">
        <is>
          <t>Ana</t>
        </is>
      </c>
      <c r="U15" t="inlineStr">
        <is>
          <t>Sin acción</t>
        </is>
      </c>
      <c r="Y15" t="inlineStr">
        <is>
          <t>2025-T3</t>
        </is>
      </c>
      <c r="Z15">
        <f>IF(AND(M12&gt;0,C12&lt;Resumen!$B$3),"Sí","No")</f>
        <v/>
      </c>
      <c r="AA15">
        <f>IF(AND(L12&gt;0,M12&gt;0),"Sí","No")</f>
        <v/>
      </c>
      <c r="AB15">
        <f>IF(J12="USD","Sí","No")</f>
        <v/>
      </c>
    </row>
    <row r="16">
      <c r="A16" t="inlineStr">
        <is>
          <t>FAC-00016</t>
        </is>
      </c>
      <c r="B16" s="33" t="n">
        <v>45883</v>
      </c>
      <c r="C16" s="33" t="n">
        <v>45898</v>
      </c>
      <c r="D16" s="33" t="n">
        <v>45921</v>
      </c>
      <c r="E16" t="inlineStr">
        <is>
          <t>CL-017</t>
        </is>
      </c>
      <c r="F16" t="inlineStr">
        <is>
          <t>Punto Sur S.A.</t>
        </is>
      </c>
      <c r="G16" t="inlineStr">
        <is>
          <t>PyME servicios recurrentes</t>
        </is>
      </c>
      <c r="H16" t="inlineStr">
        <is>
          <t>SRV-001</t>
        </is>
      </c>
      <c r="I16" t="inlineStr">
        <is>
          <t>Abono mensual administrativo</t>
        </is>
      </c>
      <c r="J16" t="inlineStr">
        <is>
          <t>ARS</t>
        </is>
      </c>
      <c r="K16" t="n">
        <v>825000</v>
      </c>
      <c r="L16" t="n">
        <v>825000</v>
      </c>
      <c r="M16" t="n">
        <v>0</v>
      </c>
      <c r="N16" t="n">
        <v>1297</v>
      </c>
      <c r="O16" t="n">
        <v>0</v>
      </c>
      <c r="P16" t="n">
        <v>0</v>
      </c>
      <c r="Q16">
        <f>IF(M17&lt;=0,"Cobrada",IF(L17&gt;0,"Parcial",IF(C17&lt;Resumen!$B$3,"Vencida",IF(C17&lt;=Resumen!$B$3+15,"Por vencer","Pendiente"))))</f>
        <v/>
      </c>
      <c r="R16" t="n">
        <v>0</v>
      </c>
      <c r="S16">
        <f>IF(M17&lt;=0,"Sin prioridad",IF(R17&gt;60,"Alta",IF(R17&gt;30,"Media",IF(C17&lt;=Resumen!$B$3+15,"Media","Baja"))))</f>
        <v/>
      </c>
      <c r="T16" t="inlineStr">
        <is>
          <t>Sofía</t>
        </is>
      </c>
      <c r="U16" t="inlineStr">
        <is>
          <t>Sin acción</t>
        </is>
      </c>
      <c r="V16" t="inlineStr">
        <is>
          <t>Cliente solicita reenvío de factura</t>
        </is>
      </c>
      <c r="Y16" t="inlineStr">
        <is>
          <t>2025-T3</t>
        </is>
      </c>
      <c r="Z16">
        <f>IF(AND(M17&gt;0,C17&lt;Resumen!$B$3),"Sí","No")</f>
        <v/>
      </c>
      <c r="AA16">
        <f>IF(AND(L17&gt;0,M17&gt;0),"Sí","No")</f>
        <v/>
      </c>
      <c r="AB16">
        <f>IF(J17="USD","Sí","No")</f>
        <v/>
      </c>
    </row>
    <row r="17">
      <c r="A17" t="inlineStr">
        <is>
          <t>FAC-00015</t>
        </is>
      </c>
      <c r="B17" s="33" t="n">
        <v>45886</v>
      </c>
      <c r="C17" s="33" t="n">
        <v>45916</v>
      </c>
      <c r="D17" s="33" t="n">
        <v>45911</v>
      </c>
      <c r="E17" t="inlineStr">
        <is>
          <t>CL-009</t>
        </is>
      </c>
      <c r="F17" t="inlineStr">
        <is>
          <t>Grupo Nexo PyME S.A.</t>
        </is>
      </c>
      <c r="G17" t="inlineStr">
        <is>
          <t>PyME servicios recurrentes</t>
        </is>
      </c>
      <c r="H17" t="inlineStr">
        <is>
          <t>SRV-003</t>
        </is>
      </c>
      <c r="I17" t="inlineStr">
        <is>
          <t>Consultoría de gestión</t>
        </is>
      </c>
      <c r="J17" t="inlineStr">
        <is>
          <t>USD</t>
        </is>
      </c>
      <c r="K17" t="n">
        <v>1100</v>
      </c>
      <c r="L17" t="n">
        <v>1100</v>
      </c>
      <c r="M17" t="n">
        <v>0</v>
      </c>
      <c r="N17" t="n">
        <v>1297</v>
      </c>
      <c r="O17" t="n">
        <v>0</v>
      </c>
      <c r="P17" t="n">
        <v>0</v>
      </c>
      <c r="Q17">
        <f>IF(M16&lt;=0,"Cobrada",IF(L16&gt;0,"Parcial",IF(C16&lt;Resumen!$B$3,"Vencida",IF(C16&lt;=Resumen!$B$3+15,"Por vencer","Pendiente"))))</f>
        <v/>
      </c>
      <c r="R17" t="n">
        <v>0</v>
      </c>
      <c r="S17">
        <f>IF(M16&lt;=0,"Sin prioridad",IF(R16&gt;60,"Alta",IF(R16&gt;30,"Media",IF(C16&lt;=Resumen!$B$3+15,"Media","Baja"))))</f>
        <v/>
      </c>
      <c r="T17" t="inlineStr">
        <is>
          <t>Ana</t>
        </is>
      </c>
      <c r="U17" t="inlineStr">
        <is>
          <t>Sin acción</t>
        </is>
      </c>
      <c r="Y17" t="inlineStr">
        <is>
          <t>2025-T3</t>
        </is>
      </c>
      <c r="Z17">
        <f>IF(AND(M16&gt;0,C16&lt;Resumen!$B$3),"Sí","No")</f>
        <v/>
      </c>
      <c r="AA17">
        <f>IF(AND(L16&gt;0,M16&gt;0),"Sí","No")</f>
        <v/>
      </c>
      <c r="AB17">
        <f>IF(J16="USD","Sí","No")</f>
        <v/>
      </c>
    </row>
    <row r="18">
      <c r="A18" t="inlineStr">
        <is>
          <t>FAC-00004</t>
        </is>
      </c>
      <c r="B18" s="33" t="n">
        <v>45890</v>
      </c>
      <c r="C18" s="33" t="n">
        <v>45905</v>
      </c>
      <c r="D18" s="33" t="n">
        <v>45900</v>
      </c>
      <c r="E18" t="inlineStr">
        <is>
          <t>CL-011</t>
        </is>
      </c>
      <c r="F18" t="inlineStr">
        <is>
          <t>Impulso Gestión S.A.S.</t>
        </is>
      </c>
      <c r="G18" t="inlineStr">
        <is>
          <t>PyME servicios recurrentes</t>
        </is>
      </c>
      <c r="H18" t="inlineStr">
        <is>
          <t>SRV-001</t>
        </is>
      </c>
      <c r="I18" t="inlineStr">
        <is>
          <t>Abono mensual administrativo</t>
        </is>
      </c>
      <c r="J18" t="inlineStr">
        <is>
          <t>ARS</t>
        </is>
      </c>
      <c r="K18" t="n">
        <v>654000</v>
      </c>
      <c r="L18" t="n">
        <v>654000</v>
      </c>
      <c r="M18" t="n">
        <v>0</v>
      </c>
      <c r="N18" t="n">
        <v>1297</v>
      </c>
      <c r="O18" t="n">
        <v>0</v>
      </c>
      <c r="P18" t="n">
        <v>0</v>
      </c>
      <c r="Q18">
        <f>IF(M5&lt;=0,"Cobrada",IF(L5&gt;0,"Parcial",IF(C5&lt;Resumen!$B$3,"Vencida",IF(C5&lt;=Resumen!$B$3+15,"Por vencer","Pendiente"))))</f>
        <v/>
      </c>
      <c r="R18" t="n">
        <v>0</v>
      </c>
      <c r="S18">
        <f>IF(M5&lt;=0,"Sin prioridad",IF(R5&gt;60,"Alta",IF(R5&gt;30,"Media",IF(C5&lt;=Resumen!$B$3+15,"Media","Baja"))))</f>
        <v/>
      </c>
      <c r="T18" t="inlineStr">
        <is>
          <t>Carlos</t>
        </is>
      </c>
      <c r="U18" t="inlineStr">
        <is>
          <t>Sin acción</t>
        </is>
      </c>
      <c r="V18" t="inlineStr">
        <is>
          <t>Pago prometido para próxima semana</t>
        </is>
      </c>
      <c r="Y18" t="inlineStr">
        <is>
          <t>2025-T3</t>
        </is>
      </c>
      <c r="Z18">
        <f>IF(AND(M5&gt;0,C5&lt;Resumen!$B$3),"Sí","No")</f>
        <v/>
      </c>
      <c r="AA18">
        <f>IF(AND(L5&gt;0,M5&gt;0),"Sí","No")</f>
        <v/>
      </c>
      <c r="AB18">
        <f>IF(J5="USD","Sí","No")</f>
        <v/>
      </c>
    </row>
    <row r="19">
      <c r="A19" t="inlineStr">
        <is>
          <t>FAC-00010</t>
        </is>
      </c>
      <c r="B19" s="33" t="n">
        <v>45890</v>
      </c>
      <c r="C19" s="33" t="n">
        <v>45905</v>
      </c>
      <c r="D19" s="33" t="n">
        <v>45909</v>
      </c>
      <c r="E19" t="inlineStr">
        <is>
          <t>CL-004</t>
        </is>
      </c>
      <c r="F19" t="inlineStr">
        <is>
          <t>Base Sur Servicios S.A.S.</t>
        </is>
      </c>
      <c r="G19" t="inlineStr">
        <is>
          <t>PyME servicios recurrentes</t>
        </is>
      </c>
      <c r="H19" t="inlineStr">
        <is>
          <t>SRV-001</t>
        </is>
      </c>
      <c r="I19" t="inlineStr">
        <is>
          <t>Abono mensual administrativo</t>
        </is>
      </c>
      <c r="J19" t="inlineStr">
        <is>
          <t>ARS</t>
        </is>
      </c>
      <c r="K19" t="n">
        <v>356000</v>
      </c>
      <c r="L19" t="n">
        <v>356000</v>
      </c>
      <c r="M19" t="n">
        <v>0</v>
      </c>
      <c r="N19" t="n">
        <v>1297</v>
      </c>
      <c r="O19" t="n">
        <v>0</v>
      </c>
      <c r="P19" t="n">
        <v>0</v>
      </c>
      <c r="Q19">
        <f>IF(M11&lt;=0,"Cobrada",IF(L11&gt;0,"Parcial",IF(C11&lt;Resumen!$B$3,"Vencida",IF(C11&lt;=Resumen!$B$3+15,"Por vencer","Pendiente"))))</f>
        <v/>
      </c>
      <c r="R19" t="n">
        <v>0</v>
      </c>
      <c r="S19">
        <f>IF(M11&lt;=0,"Sin prioridad",IF(R11&gt;60,"Alta",IF(R11&gt;30,"Media",IF(C11&lt;=Resumen!$B$3+15,"Media","Baja"))))</f>
        <v/>
      </c>
      <c r="T19" t="inlineStr">
        <is>
          <t>Ana</t>
        </is>
      </c>
      <c r="U19" t="inlineStr">
        <is>
          <t>Sin acción</t>
        </is>
      </c>
      <c r="Y19" t="inlineStr">
        <is>
          <t>2025-T3</t>
        </is>
      </c>
      <c r="Z19">
        <f>IF(AND(M11&gt;0,C11&lt;Resumen!$B$3),"Sí","No")</f>
        <v/>
      </c>
      <c r="AA19">
        <f>IF(AND(L11&gt;0,M11&gt;0),"Sí","No")</f>
        <v/>
      </c>
      <c r="AB19">
        <f>IF(J11="USD","Sí","No")</f>
        <v/>
      </c>
    </row>
    <row r="20">
      <c r="A20" t="inlineStr">
        <is>
          <t>FAC-00006</t>
        </is>
      </c>
      <c r="B20" s="33" t="n">
        <v>45892</v>
      </c>
      <c r="C20" s="33" t="n">
        <v>45907</v>
      </c>
      <c r="E20" t="inlineStr">
        <is>
          <t>CL-023</t>
        </is>
      </c>
      <c r="F20" t="inlineStr">
        <is>
          <t>Vector Administración S.A.S.</t>
        </is>
      </c>
      <c r="G20" t="inlineStr">
        <is>
          <t>PyME servicios recurrentes</t>
        </is>
      </c>
      <c r="H20" t="inlineStr">
        <is>
          <t>SRV-001</t>
        </is>
      </c>
      <c r="I20" t="inlineStr">
        <is>
          <t>Abono mensual administrativo</t>
        </is>
      </c>
      <c r="J20" t="inlineStr">
        <is>
          <t>ARS</t>
        </is>
      </c>
      <c r="K20" t="n">
        <v>695000</v>
      </c>
      <c r="L20" t="n">
        <v>0</v>
      </c>
      <c r="M20" t="n">
        <v>0</v>
      </c>
      <c r="N20" t="n">
        <v>1297</v>
      </c>
      <c r="O20" t="n">
        <v>0</v>
      </c>
      <c r="P20" t="n">
        <v>0</v>
      </c>
      <c r="Q20">
        <f>IF(M7&lt;=0,"Cobrada",IF(L7&gt;0,"Parcial",IF(C7&lt;Resumen!$B$3,"Vencida",IF(C7&lt;=Resumen!$B$3+15,"Por vencer","Pendiente"))))</f>
        <v/>
      </c>
      <c r="R20" t="n">
        <v>0</v>
      </c>
      <c r="S20">
        <f>IF(M7&lt;=0,"Sin prioridad",IF(R7&gt;60,"Alta",IF(R7&gt;30,"Media",IF(C7&lt;=Resumen!$B$3+15,"Media","Baja"))))</f>
        <v/>
      </c>
      <c r="T20" t="inlineStr">
        <is>
          <t>Ana</t>
        </is>
      </c>
      <c r="U20" t="inlineStr">
        <is>
          <t>Llamar al cliente</t>
        </is>
      </c>
      <c r="V20" t="inlineStr">
        <is>
          <t>En seguimiento administrativo</t>
        </is>
      </c>
      <c r="Y20" t="inlineStr">
        <is>
          <t>2025-T3</t>
        </is>
      </c>
      <c r="Z20">
        <f>IF(AND(M7&gt;0,C7&lt;Resumen!$B$3),"Sí","No")</f>
        <v/>
      </c>
      <c r="AA20">
        <f>IF(AND(L7&gt;0,M7&gt;0),"Sí","No")</f>
        <v/>
      </c>
      <c r="AB20">
        <f>IF(J7="USD","Sí","No")</f>
        <v/>
      </c>
    </row>
    <row r="21">
      <c r="A21" t="inlineStr">
        <is>
          <t>FAC-00021</t>
        </is>
      </c>
      <c r="B21" s="33" t="n">
        <v>45892</v>
      </c>
      <c r="C21" s="33" t="n">
        <v>45952</v>
      </c>
      <c r="E21" t="inlineStr">
        <is>
          <t>CL-006</t>
        </is>
      </c>
      <c r="F21" t="inlineStr">
        <is>
          <t>Delta Gestión PyME S.A.</t>
        </is>
      </c>
      <c r="G21" t="inlineStr">
        <is>
          <t>PyME servicios recurrentes</t>
        </is>
      </c>
      <c r="H21" t="inlineStr">
        <is>
          <t>SRV-003</t>
        </is>
      </c>
      <c r="I21" t="inlineStr">
        <is>
          <t>Consultoría de gestión</t>
        </is>
      </c>
      <c r="J21" t="inlineStr">
        <is>
          <t>ARS</t>
        </is>
      </c>
      <c r="K21" t="n">
        <v>1586000</v>
      </c>
      <c r="L21" t="n">
        <v>0</v>
      </c>
      <c r="M21" t="n">
        <v>0</v>
      </c>
      <c r="N21" t="n">
        <v>1297</v>
      </c>
      <c r="O21" t="n">
        <v>0</v>
      </c>
      <c r="P21" t="n">
        <v>0</v>
      </c>
      <c r="Q21">
        <f>IF(M22&lt;=0,"Cobrada",IF(L22&gt;0,"Parcial",IF(C22&lt;Resumen!$B$3,"Vencida",IF(C22&lt;=Resumen!$B$3+15,"Por vencer","Pendiente"))))</f>
        <v/>
      </c>
      <c r="R21" t="n">
        <v>0</v>
      </c>
      <c r="S21">
        <f>IF(M22&lt;=0,"Sin prioridad",IF(R22&gt;60,"Alta",IF(R22&gt;30,"Media",IF(C22&lt;=Resumen!$B$3+15,"Media","Baja"))))</f>
        <v/>
      </c>
      <c r="T21" t="inlineStr">
        <is>
          <t>Ana</t>
        </is>
      </c>
      <c r="U21" t="inlineStr">
        <is>
          <t>Reenviar factura</t>
        </is>
      </c>
      <c r="V21" t="inlineStr">
        <is>
          <t>En seguimiento administrativo</t>
        </is>
      </c>
      <c r="Y21" t="inlineStr">
        <is>
          <t>2025-T3</t>
        </is>
      </c>
      <c r="Z21">
        <f>IF(AND(M22&gt;0,C22&lt;Resumen!$B$3),"Sí","No")</f>
        <v/>
      </c>
      <c r="AA21">
        <f>IF(AND(L22&gt;0,M22&gt;0),"Sí","No")</f>
        <v/>
      </c>
      <c r="AB21">
        <f>IF(J22="USD","Sí","No")</f>
        <v/>
      </c>
    </row>
    <row r="22">
      <c r="A22" t="inlineStr">
        <is>
          <t>FAC-00002</t>
        </is>
      </c>
      <c r="B22" s="33" t="n">
        <v>45894</v>
      </c>
      <c r="C22" s="33" t="n">
        <v>45909</v>
      </c>
      <c r="D22" s="33" t="n">
        <v>45924</v>
      </c>
      <c r="E22" t="inlineStr">
        <is>
          <t>CL-001</t>
        </is>
      </c>
      <c r="F22" t="inlineStr">
        <is>
          <t>Altos del Centro S.R.L.</t>
        </is>
      </c>
      <c r="G22" t="inlineStr">
        <is>
          <t>PyME servicios recurrentes</t>
        </is>
      </c>
      <c r="H22" t="inlineStr">
        <is>
          <t>SRV-001</t>
        </is>
      </c>
      <c r="I22" t="inlineStr">
        <is>
          <t>Abono mensual administrativo</t>
        </is>
      </c>
      <c r="J22" t="inlineStr">
        <is>
          <t>ARS</t>
        </is>
      </c>
      <c r="K22" t="n">
        <v>668000</v>
      </c>
      <c r="L22" t="n">
        <v>668000</v>
      </c>
      <c r="M22" t="n">
        <v>0</v>
      </c>
      <c r="N22" t="n">
        <v>1297</v>
      </c>
      <c r="O22" t="n">
        <v>0</v>
      </c>
      <c r="P22" t="n">
        <v>0</v>
      </c>
      <c r="Q22">
        <f>IF(M3&lt;=0,"Cobrada",IF(L3&gt;0,"Parcial",IF(C3&lt;Resumen!$B$3,"Vencida",IF(C3&lt;=Resumen!$B$3+15,"Por vencer","Pendiente"))))</f>
        <v/>
      </c>
      <c r="R22" t="n">
        <v>0</v>
      </c>
      <c r="S22">
        <f>IF(M3&lt;=0,"Sin prioridad",IF(R3&gt;60,"Alta",IF(R3&gt;30,"Media",IF(C3&lt;=Resumen!$B$3+15,"Media","Baja"))))</f>
        <v/>
      </c>
      <c r="T22" t="inlineStr">
        <is>
          <t>Carlos</t>
        </is>
      </c>
      <c r="U22" t="inlineStr">
        <is>
          <t>Sin acción</t>
        </is>
      </c>
      <c r="V22" t="inlineStr">
        <is>
          <t>Sin respuesta del cliente</t>
        </is>
      </c>
      <c r="Y22" t="inlineStr">
        <is>
          <t>2025-T3</t>
        </is>
      </c>
      <c r="Z22">
        <f>IF(AND(M3&gt;0,C3&lt;Resumen!$B$3),"Sí","No")</f>
        <v/>
      </c>
      <c r="AA22">
        <f>IF(AND(L3&gt;0,M3&gt;0),"Sí","No")</f>
        <v/>
      </c>
      <c r="AB22">
        <f>IF(J3="USD","Sí","No")</f>
        <v/>
      </c>
    </row>
    <row r="23">
      <c r="A23" t="inlineStr">
        <is>
          <t>FAC-00007</t>
        </is>
      </c>
      <c r="B23" s="33" t="n">
        <v>45895</v>
      </c>
      <c r="C23" s="33" t="n">
        <v>45925</v>
      </c>
      <c r="E23" t="inlineStr">
        <is>
          <t>CL-008</t>
        </is>
      </c>
      <c r="F23" t="inlineStr">
        <is>
          <t>Faro Administrativo S.A.S.</t>
        </is>
      </c>
      <c r="G23" t="inlineStr">
        <is>
          <t>PyME servicios recurrentes</t>
        </is>
      </c>
      <c r="H23" t="inlineStr">
        <is>
          <t>SRV-002</t>
        </is>
      </c>
      <c r="I23" t="inlineStr">
        <is>
          <t>Soporte operativo</t>
        </is>
      </c>
      <c r="J23" t="inlineStr">
        <is>
          <t>ARS</t>
        </is>
      </c>
      <c r="K23" t="n">
        <v>643000</v>
      </c>
      <c r="L23" t="n">
        <v>0</v>
      </c>
      <c r="M23" t="n">
        <v>0</v>
      </c>
      <c r="N23" t="n">
        <v>1297</v>
      </c>
      <c r="O23" t="n">
        <v>0</v>
      </c>
      <c r="P23" t="n">
        <v>0</v>
      </c>
      <c r="Q23">
        <f>IF(M8&lt;=0,"Cobrada",IF(L8&gt;0,"Parcial",IF(C8&lt;Resumen!$B$3,"Vencida",IF(C8&lt;=Resumen!$B$3+15,"Por vencer","Pendiente"))))</f>
        <v/>
      </c>
      <c r="R23" t="n">
        <v>0</v>
      </c>
      <c r="S23">
        <f>IF(M8&lt;=0,"Sin prioridad",IF(R8&gt;60,"Alta",IF(R8&gt;30,"Media",IF(C8&lt;=Resumen!$B$3+15,"Media","Baja"))))</f>
        <v/>
      </c>
      <c r="T23" t="inlineStr">
        <is>
          <t>Sofía</t>
        </is>
      </c>
      <c r="U23" t="inlineStr">
        <is>
          <t>Reenviar factura</t>
        </is>
      </c>
      <c r="Y23" t="inlineStr">
        <is>
          <t>2025-T3</t>
        </is>
      </c>
      <c r="Z23">
        <f>IF(AND(M8&gt;0,C8&lt;Resumen!$B$3),"Sí","No")</f>
        <v/>
      </c>
      <c r="AA23">
        <f>IF(AND(L8&gt;0,M8&gt;0),"Sí","No")</f>
        <v/>
      </c>
      <c r="AB23">
        <f>IF(J8="USD","Sí","No")</f>
        <v/>
      </c>
    </row>
    <row r="24">
      <c r="A24" t="inlineStr">
        <is>
          <t>FAC-00018</t>
        </is>
      </c>
      <c r="B24" s="33" t="n">
        <v>45895</v>
      </c>
      <c r="C24" s="33" t="n">
        <v>45925</v>
      </c>
      <c r="D24" s="33" t="n">
        <v>45942</v>
      </c>
      <c r="E24" t="inlineStr">
        <is>
          <t>CL-021</t>
        </is>
      </c>
      <c r="F24" t="inlineStr">
        <is>
          <t>Unión PyME Servicios S.A.</t>
        </is>
      </c>
      <c r="G24" t="inlineStr">
        <is>
          <t>PyME servicios recurrentes</t>
        </is>
      </c>
      <c r="H24" t="inlineStr">
        <is>
          <t>SRV-003</t>
        </is>
      </c>
      <c r="I24" t="inlineStr">
        <is>
          <t>Consultoría de gestión</t>
        </is>
      </c>
      <c r="J24" t="inlineStr">
        <is>
          <t>USD</t>
        </is>
      </c>
      <c r="K24" t="n">
        <v>1800</v>
      </c>
      <c r="L24" t="n">
        <v>1800</v>
      </c>
      <c r="M24" t="n">
        <v>0</v>
      </c>
      <c r="N24" t="n">
        <v>1297</v>
      </c>
      <c r="O24" t="n">
        <v>0</v>
      </c>
      <c r="P24" t="n">
        <v>0</v>
      </c>
      <c r="Q24">
        <f>IF(M19&lt;=0,"Cobrada",IF(L19&gt;0,"Parcial",IF(C19&lt;Resumen!$B$3,"Vencida",IF(C19&lt;=Resumen!$B$3+15,"Por vencer","Pendiente"))))</f>
        <v/>
      </c>
      <c r="R24" t="n">
        <v>0</v>
      </c>
      <c r="S24">
        <f>IF(M19&lt;=0,"Sin prioridad",IF(R19&gt;60,"Alta",IF(R19&gt;30,"Media",IF(C19&lt;=Resumen!$B$3+15,"Media","Baja"))))</f>
        <v/>
      </c>
      <c r="T24" t="inlineStr">
        <is>
          <t>Ana</t>
        </is>
      </c>
      <c r="U24" t="inlineStr">
        <is>
          <t>Sin acción</t>
        </is>
      </c>
      <c r="V24" t="inlineStr">
        <is>
          <t>Pendiente de confirmación de pago</t>
        </is>
      </c>
      <c r="Y24" t="inlineStr">
        <is>
          <t>2025-T3</t>
        </is>
      </c>
      <c r="Z24">
        <f>IF(AND(M19&gt;0,C19&lt;Resumen!$B$3),"Sí","No")</f>
        <v/>
      </c>
      <c r="AA24">
        <f>IF(AND(L19&gt;0,M19&gt;0),"Sí","No")</f>
        <v/>
      </c>
      <c r="AB24">
        <f>IF(J19="USD","Sí","No")</f>
        <v/>
      </c>
    </row>
    <row r="25">
      <c r="A25" t="inlineStr">
        <is>
          <t>FAC-00001</t>
        </is>
      </c>
      <c r="B25" s="33" t="n">
        <v>45897</v>
      </c>
      <c r="C25" s="33" t="n">
        <v>45912</v>
      </c>
      <c r="D25" s="33" t="n">
        <v>45934</v>
      </c>
      <c r="E25" t="inlineStr">
        <is>
          <t>CL-017</t>
        </is>
      </c>
      <c r="F25" t="inlineStr">
        <is>
          <t>Punto Sur S.A.</t>
        </is>
      </c>
      <c r="G25" t="inlineStr">
        <is>
          <t>PyME servicios recurrentes</t>
        </is>
      </c>
      <c r="H25" t="inlineStr">
        <is>
          <t>SRV-002</t>
        </is>
      </c>
      <c r="I25" t="inlineStr">
        <is>
          <t>Soporte operativo</t>
        </is>
      </c>
      <c r="J25" t="inlineStr">
        <is>
          <t>USD</t>
        </is>
      </c>
      <c r="K25" t="n">
        <v>650</v>
      </c>
      <c r="L25" t="n">
        <v>650</v>
      </c>
      <c r="M25" t="n">
        <v>0</v>
      </c>
      <c r="N25" t="n">
        <v>1297</v>
      </c>
      <c r="O25" t="n">
        <v>0</v>
      </c>
      <c r="P25" t="n">
        <v>0</v>
      </c>
      <c r="Q25">
        <f>IF(M2&lt;=0,"Cobrada",IF(L2&gt;0,"Parcial",IF(C2&lt;Resumen!$B$3,"Vencida",IF(C2&lt;=Resumen!$B$3+15,"Por vencer","Pendiente"))))</f>
        <v/>
      </c>
      <c r="R25" t="n">
        <v>0</v>
      </c>
      <c r="S25">
        <f>IF(M2&lt;=0,"Sin prioridad",IF(R2&gt;60,"Alta",IF(R2&gt;30,"Media",IF(C2&lt;=Resumen!$B$3+15,"Media","Baja"))))</f>
        <v/>
      </c>
      <c r="T25" t="inlineStr">
        <is>
          <t>Sofía</t>
        </is>
      </c>
      <c r="U25" t="inlineStr">
        <is>
          <t>Sin acción</t>
        </is>
      </c>
      <c r="V25" t="inlineStr">
        <is>
          <t>En seguimiento administrativo</t>
        </is>
      </c>
      <c r="Y25" t="inlineStr">
        <is>
          <t>2025-T3</t>
        </is>
      </c>
      <c r="Z25">
        <f>IF(AND(M2&gt;0,C2&lt;Resumen!$B$3),"Sí","No")</f>
        <v/>
      </c>
      <c r="AA25">
        <f>IF(AND(L2&gt;0,M2&gt;0),"Sí","No")</f>
        <v/>
      </c>
      <c r="AB25">
        <f>IF(J2="USD","Sí","No")</f>
        <v/>
      </c>
    </row>
    <row r="26">
      <c r="A26" t="inlineStr">
        <is>
          <t>FAC-00033</t>
        </is>
      </c>
      <c r="B26" s="33" t="n">
        <v>45902</v>
      </c>
      <c r="C26" s="33" t="n">
        <v>45947</v>
      </c>
      <c r="D26" s="33" t="n">
        <v>45950</v>
      </c>
      <c r="E26" t="inlineStr">
        <is>
          <t>CL-018</t>
        </is>
      </c>
      <c r="F26" t="inlineStr">
        <is>
          <t>Río Claro Servicios S.R.L.</t>
        </is>
      </c>
      <c r="G26" t="inlineStr">
        <is>
          <t>PyME servicios recurrentes</t>
        </is>
      </c>
      <c r="H26" t="inlineStr">
        <is>
          <t>SRV-002</t>
        </is>
      </c>
      <c r="I26" t="inlineStr">
        <is>
          <t>Soporte operativo</t>
        </is>
      </c>
      <c r="J26" t="inlineStr">
        <is>
          <t>USD</t>
        </is>
      </c>
      <c r="K26" t="n">
        <v>250</v>
      </c>
      <c r="L26" t="n">
        <v>250</v>
      </c>
      <c r="M26" t="n">
        <v>0</v>
      </c>
      <c r="N26" t="n">
        <v>1330</v>
      </c>
      <c r="O26" t="n">
        <v>0</v>
      </c>
      <c r="P26" t="n">
        <v>0</v>
      </c>
      <c r="Q26">
        <f>IF(M34&lt;=0,"Cobrada",IF(L34&gt;0,"Parcial",IF(C34&lt;Resumen!$B$3,"Vencida",IF(C34&lt;=Resumen!$B$3+15,"Por vencer","Pendiente"))))</f>
        <v/>
      </c>
      <c r="R26" t="n">
        <v>0</v>
      </c>
      <c r="S26">
        <f>IF(M34&lt;=0,"Sin prioridad",IF(R34&gt;60,"Alta",IF(R34&gt;30,"Media",IF(C34&lt;=Resumen!$B$3+15,"Media","Baja"))))</f>
        <v/>
      </c>
      <c r="T26" t="inlineStr">
        <is>
          <t>Ana</t>
        </is>
      </c>
      <c r="U26" t="inlineStr">
        <is>
          <t>Sin acción</t>
        </is>
      </c>
      <c r="V26" t="inlineStr">
        <is>
          <t>En seguimiento administrativo</t>
        </is>
      </c>
      <c r="Y26" t="inlineStr">
        <is>
          <t>2025-T3</t>
        </is>
      </c>
      <c r="Z26">
        <f>IF(AND(M34&gt;0,C34&lt;Resumen!$B$3),"Sí","No")</f>
        <v/>
      </c>
      <c r="AA26">
        <f>IF(AND(L34&gt;0,M34&gt;0),"Sí","No")</f>
        <v/>
      </c>
      <c r="AB26">
        <f>IF(J34="USD","Sí","No")</f>
        <v/>
      </c>
    </row>
    <row r="27">
      <c r="A27" t="inlineStr">
        <is>
          <t>FAC-00044</t>
        </is>
      </c>
      <c r="B27" s="33" t="n">
        <v>45902</v>
      </c>
      <c r="C27" s="33" t="n">
        <v>45932</v>
      </c>
      <c r="D27" s="33" t="n">
        <v>45932</v>
      </c>
      <c r="E27" t="inlineStr">
        <is>
          <t>CL-009</t>
        </is>
      </c>
      <c r="F27" t="inlineStr">
        <is>
          <t>Grupo Nexo PyME S.A.</t>
        </is>
      </c>
      <c r="G27" t="inlineStr">
        <is>
          <t>PyME servicios recurrentes</t>
        </is>
      </c>
      <c r="H27" t="inlineStr">
        <is>
          <t>SRV-001</t>
        </is>
      </c>
      <c r="I27" t="inlineStr">
        <is>
          <t>Abono mensual administrativo</t>
        </is>
      </c>
      <c r="J27" t="inlineStr">
        <is>
          <t>ARS</t>
        </is>
      </c>
      <c r="K27" t="n">
        <v>926000</v>
      </c>
      <c r="L27" t="n">
        <v>926000</v>
      </c>
      <c r="M27" t="n">
        <v>0</v>
      </c>
      <c r="N27" t="n">
        <v>1330</v>
      </c>
      <c r="O27" t="n">
        <v>0</v>
      </c>
      <c r="P27" t="n">
        <v>0</v>
      </c>
      <c r="Q27">
        <f>IF(M45&lt;=0,"Cobrada",IF(L45&gt;0,"Parcial",IF(C45&lt;Resumen!$B$3,"Vencida",IF(C45&lt;=Resumen!$B$3+15,"Por vencer","Pendiente"))))</f>
        <v/>
      </c>
      <c r="R27" t="n">
        <v>0</v>
      </c>
      <c r="S27">
        <f>IF(M45&lt;=0,"Sin prioridad",IF(R45&gt;60,"Alta",IF(R45&gt;30,"Media",IF(C45&lt;=Resumen!$B$3+15,"Media","Baja"))))</f>
        <v/>
      </c>
      <c r="T27" t="inlineStr">
        <is>
          <t>Ana</t>
        </is>
      </c>
      <c r="U27" t="inlineStr">
        <is>
          <t>Sin acción</t>
        </is>
      </c>
      <c r="V27" t="inlineStr">
        <is>
          <t>En seguimiento administrativo</t>
        </is>
      </c>
      <c r="Y27" t="inlineStr">
        <is>
          <t>2025-T3</t>
        </is>
      </c>
      <c r="Z27">
        <f>IF(AND(M45&gt;0,C45&lt;Resumen!$B$3),"Sí","No")</f>
        <v/>
      </c>
      <c r="AA27">
        <f>IF(AND(L45&gt;0,M45&gt;0),"Sí","No")</f>
        <v/>
      </c>
      <c r="AB27">
        <f>IF(J45="USD","Sí","No")</f>
        <v/>
      </c>
    </row>
    <row r="28">
      <c r="A28" t="inlineStr">
        <is>
          <t>FAC-00031</t>
        </is>
      </c>
      <c r="B28" s="33" t="n">
        <v>45903</v>
      </c>
      <c r="C28" s="33" t="n">
        <v>45918</v>
      </c>
      <c r="D28" s="33" t="n">
        <v>45934</v>
      </c>
      <c r="E28" t="inlineStr">
        <is>
          <t>CL-017</t>
        </is>
      </c>
      <c r="F28" t="inlineStr">
        <is>
          <t>Punto Sur S.A.</t>
        </is>
      </c>
      <c r="G28" t="inlineStr">
        <is>
          <t>PyME servicios recurrentes</t>
        </is>
      </c>
      <c r="H28" t="inlineStr">
        <is>
          <t>SRV-001</t>
        </is>
      </c>
      <c r="I28" t="inlineStr">
        <is>
          <t>Abono mensual administrativo</t>
        </is>
      </c>
      <c r="J28" t="inlineStr">
        <is>
          <t>ARS</t>
        </is>
      </c>
      <c r="K28" t="n">
        <v>405000</v>
      </c>
      <c r="L28" t="n">
        <v>405000</v>
      </c>
      <c r="M28" t="n">
        <v>0</v>
      </c>
      <c r="N28" t="n">
        <v>1330</v>
      </c>
      <c r="O28" t="n">
        <v>0</v>
      </c>
      <c r="P28" t="n">
        <v>0</v>
      </c>
      <c r="Q28">
        <f>IF(M32&lt;=0,"Cobrada",IF(L32&gt;0,"Parcial",IF(C32&lt;Resumen!$B$3,"Vencida",IF(C32&lt;=Resumen!$B$3+15,"Por vencer","Pendiente"))))</f>
        <v/>
      </c>
      <c r="R28" t="n">
        <v>0</v>
      </c>
      <c r="S28">
        <f>IF(M32&lt;=0,"Sin prioridad",IF(R32&gt;60,"Alta",IF(R32&gt;30,"Media",IF(C32&lt;=Resumen!$B$3+15,"Media","Baja"))))</f>
        <v/>
      </c>
      <c r="T28" t="inlineStr">
        <is>
          <t>Sofía</t>
        </is>
      </c>
      <c r="U28" t="inlineStr">
        <is>
          <t>Sin acción</t>
        </is>
      </c>
      <c r="V28" t="inlineStr">
        <is>
          <t>En seguimiento administrativo</t>
        </is>
      </c>
      <c r="Y28" t="inlineStr">
        <is>
          <t>2025-T3</t>
        </is>
      </c>
      <c r="Z28">
        <f>IF(AND(M32&gt;0,C32&lt;Resumen!$B$3),"Sí","No")</f>
        <v/>
      </c>
      <c r="AA28">
        <f>IF(AND(L32&gt;0,M32&gt;0),"Sí","No")</f>
        <v/>
      </c>
      <c r="AB28">
        <f>IF(J32="USD","Sí","No")</f>
        <v/>
      </c>
    </row>
    <row r="29">
      <c r="A29" t="inlineStr">
        <is>
          <t>FAC-00029</t>
        </is>
      </c>
      <c r="B29" s="33" t="n">
        <v>45906</v>
      </c>
      <c r="C29" s="33" t="n">
        <v>45936</v>
      </c>
      <c r="D29" s="33" t="n">
        <v>45959</v>
      </c>
      <c r="E29" t="inlineStr">
        <is>
          <t>CL-019</t>
        </is>
      </c>
      <c r="F29" t="inlineStr">
        <is>
          <t>Sierra Norte S.A.S.</t>
        </is>
      </c>
      <c r="G29" t="inlineStr">
        <is>
          <t>PyME servicios recurrentes</t>
        </is>
      </c>
      <c r="H29" t="inlineStr">
        <is>
          <t>SRV-001</t>
        </is>
      </c>
      <c r="I29" t="inlineStr">
        <is>
          <t>Abono mensual administrativo</t>
        </is>
      </c>
      <c r="J29" t="inlineStr">
        <is>
          <t>ARS</t>
        </is>
      </c>
      <c r="K29" t="n">
        <v>942000</v>
      </c>
      <c r="L29" t="n">
        <v>268010.92</v>
      </c>
      <c r="M29" t="n">
        <v>0</v>
      </c>
      <c r="N29" t="n">
        <v>1330</v>
      </c>
      <c r="O29" t="n">
        <v>0</v>
      </c>
      <c r="P29" t="n">
        <v>0</v>
      </c>
      <c r="Q29">
        <f>IF(M30&lt;=0,"Cobrada",IF(L30&gt;0,"Parcial",IF(C30&lt;Resumen!$B$3,"Vencida",IF(C30&lt;=Resumen!$B$3+15,"Por vencer","Pendiente"))))</f>
        <v/>
      </c>
      <c r="R29" t="n">
        <v>0</v>
      </c>
      <c r="S29">
        <f>IF(M30&lt;=0,"Sin prioridad",IF(R30&gt;60,"Alta",IF(R30&gt;30,"Media",IF(C30&lt;=Resumen!$B$3+15,"Media","Baja"))))</f>
        <v/>
      </c>
      <c r="T29" t="inlineStr">
        <is>
          <t>Carlos</t>
        </is>
      </c>
      <c r="U29" t="inlineStr">
        <is>
          <t>Reclamar saldo parcial</t>
        </is>
      </c>
      <c r="V29" t="inlineStr">
        <is>
          <t>Sin respuesta del cliente</t>
        </is>
      </c>
      <c r="Y29" t="inlineStr">
        <is>
          <t>2025-T3</t>
        </is>
      </c>
      <c r="Z29">
        <f>IF(AND(M30&gt;0,C30&lt;Resumen!$B$3),"Sí","No")</f>
        <v/>
      </c>
      <c r="AA29">
        <f>IF(AND(L30&gt;0,M30&gt;0),"Sí","No")</f>
        <v/>
      </c>
      <c r="AB29">
        <f>IF(J30="USD","Sí","No")</f>
        <v/>
      </c>
    </row>
    <row r="30">
      <c r="A30" t="inlineStr">
        <is>
          <t>FAC-00047</t>
        </is>
      </c>
      <c r="B30" s="33" t="n">
        <v>45906</v>
      </c>
      <c r="C30" s="33" t="n">
        <v>45921</v>
      </c>
      <c r="E30" t="inlineStr">
        <is>
          <t>CL-023</t>
        </is>
      </c>
      <c r="F30" t="inlineStr">
        <is>
          <t>Vector Administración S.A.S.</t>
        </is>
      </c>
      <c r="G30" t="inlineStr">
        <is>
          <t>PyME servicios recurrentes</t>
        </is>
      </c>
      <c r="H30" t="inlineStr">
        <is>
          <t>SRV-001</t>
        </is>
      </c>
      <c r="I30" t="inlineStr">
        <is>
          <t>Abono mensual administrativo</t>
        </is>
      </c>
      <c r="J30" t="inlineStr">
        <is>
          <t>USD</t>
        </is>
      </c>
      <c r="K30" t="n">
        <v>750</v>
      </c>
      <c r="L30" t="n">
        <v>0</v>
      </c>
      <c r="M30" t="n">
        <v>0</v>
      </c>
      <c r="N30" t="n">
        <v>1330</v>
      </c>
      <c r="O30" t="n">
        <v>0</v>
      </c>
      <c r="P30" t="n">
        <v>0</v>
      </c>
      <c r="Q30">
        <f>IF(M48&lt;=0,"Cobrada",IF(L48&gt;0,"Parcial",IF(C48&lt;Resumen!$B$3,"Vencida",IF(C48&lt;=Resumen!$B$3+15,"Por vencer","Pendiente"))))</f>
        <v/>
      </c>
      <c r="R30" t="n">
        <v>0</v>
      </c>
      <c r="S30">
        <f>IF(M48&lt;=0,"Sin prioridad",IF(R48&gt;60,"Alta",IF(R48&gt;30,"Media",IF(C48&lt;=Resumen!$B$3+15,"Media","Baja"))))</f>
        <v/>
      </c>
      <c r="T30" t="inlineStr">
        <is>
          <t>Ana</t>
        </is>
      </c>
      <c r="U30" t="inlineStr">
        <is>
          <t>Llamar al cliente</t>
        </is>
      </c>
      <c r="Y30" t="inlineStr">
        <is>
          <t>2025-T3</t>
        </is>
      </c>
      <c r="Z30">
        <f>IF(AND(M48&gt;0,C48&lt;Resumen!$B$3),"Sí","No")</f>
        <v/>
      </c>
      <c r="AA30">
        <f>IF(AND(L48&gt;0,M48&gt;0),"Sí","No")</f>
        <v/>
      </c>
      <c r="AB30">
        <f>IF(J48="USD","Sí","No")</f>
        <v/>
      </c>
    </row>
    <row r="31">
      <c r="A31" t="inlineStr">
        <is>
          <t>FAC-00035</t>
        </is>
      </c>
      <c r="B31" s="33" t="n">
        <v>45907</v>
      </c>
      <c r="C31" s="33" t="n">
        <v>45922</v>
      </c>
      <c r="D31" s="33" t="n">
        <v>45949</v>
      </c>
      <c r="E31" t="inlineStr">
        <is>
          <t>CL-017</t>
        </is>
      </c>
      <c r="F31" t="inlineStr">
        <is>
          <t>Punto Sur S.A.</t>
        </is>
      </c>
      <c r="G31" t="inlineStr">
        <is>
          <t>PyME servicios recurrentes</t>
        </is>
      </c>
      <c r="H31" t="inlineStr">
        <is>
          <t>SRV-003</t>
        </is>
      </c>
      <c r="I31" t="inlineStr">
        <is>
          <t>Consultoría de gestión</t>
        </is>
      </c>
      <c r="J31" t="inlineStr">
        <is>
          <t>USD</t>
        </is>
      </c>
      <c r="K31" t="n">
        <v>1700</v>
      </c>
      <c r="L31" t="n">
        <v>1700</v>
      </c>
      <c r="M31" t="n">
        <v>0</v>
      </c>
      <c r="N31" t="n">
        <v>1330</v>
      </c>
      <c r="O31" t="n">
        <v>0</v>
      </c>
      <c r="P31" t="n">
        <v>0</v>
      </c>
      <c r="Q31">
        <f>IF(M36&lt;=0,"Cobrada",IF(L36&gt;0,"Parcial",IF(C36&lt;Resumen!$B$3,"Vencida",IF(C36&lt;=Resumen!$B$3+15,"Por vencer","Pendiente"))))</f>
        <v/>
      </c>
      <c r="R31" t="n">
        <v>0</v>
      </c>
      <c r="S31">
        <f>IF(M36&lt;=0,"Sin prioridad",IF(R36&gt;60,"Alta",IF(R36&gt;30,"Media",IF(C36&lt;=Resumen!$B$3+15,"Media","Baja"))))</f>
        <v/>
      </c>
      <c r="T31" t="inlineStr">
        <is>
          <t>Sofía</t>
        </is>
      </c>
      <c r="U31" t="inlineStr">
        <is>
          <t>Sin acción</t>
        </is>
      </c>
      <c r="V31" t="inlineStr">
        <is>
          <t>Pendiente de confirmación de pago</t>
        </is>
      </c>
      <c r="Y31" t="inlineStr">
        <is>
          <t>2025-T3</t>
        </is>
      </c>
      <c r="Z31">
        <f>IF(AND(M36&gt;0,C36&lt;Resumen!$B$3),"Sí","No")</f>
        <v/>
      </c>
      <c r="AA31">
        <f>IF(AND(L36&gt;0,M36&gt;0),"Sí","No")</f>
        <v/>
      </c>
      <c r="AB31">
        <f>IF(J36="USD","Sí","No")</f>
        <v/>
      </c>
    </row>
    <row r="32">
      <c r="A32" t="inlineStr">
        <is>
          <t>FAC-00037</t>
        </is>
      </c>
      <c r="B32" s="33" t="n">
        <v>45907</v>
      </c>
      <c r="C32" s="33" t="n">
        <v>45952</v>
      </c>
      <c r="D32" s="33" t="n">
        <v>45953</v>
      </c>
      <c r="E32" t="inlineStr">
        <is>
          <t>CL-018</t>
        </is>
      </c>
      <c r="F32" t="inlineStr">
        <is>
          <t>Río Claro Servicios S.R.L.</t>
        </is>
      </c>
      <c r="G32" t="inlineStr">
        <is>
          <t>PyME servicios recurrentes</t>
        </is>
      </c>
      <c r="H32" t="inlineStr">
        <is>
          <t>SRV-001</t>
        </is>
      </c>
      <c r="I32" t="inlineStr">
        <is>
          <t>Abono mensual administrativo</t>
        </is>
      </c>
      <c r="J32" t="inlineStr">
        <is>
          <t>ARS</t>
        </is>
      </c>
      <c r="K32" t="n">
        <v>821000</v>
      </c>
      <c r="L32" t="n">
        <v>821000</v>
      </c>
      <c r="M32" t="n">
        <v>0</v>
      </c>
      <c r="N32" t="n">
        <v>1330</v>
      </c>
      <c r="O32" t="n">
        <v>0</v>
      </c>
      <c r="P32" t="n">
        <v>0</v>
      </c>
      <c r="Q32">
        <f>IF(M38&lt;=0,"Cobrada",IF(L38&gt;0,"Parcial",IF(C38&lt;Resumen!$B$3,"Vencida",IF(C38&lt;=Resumen!$B$3+15,"Por vencer","Pendiente"))))</f>
        <v/>
      </c>
      <c r="R32" t="n">
        <v>0</v>
      </c>
      <c r="S32">
        <f>IF(M38&lt;=0,"Sin prioridad",IF(R38&gt;60,"Alta",IF(R38&gt;30,"Media",IF(C38&lt;=Resumen!$B$3+15,"Media","Baja"))))</f>
        <v/>
      </c>
      <c r="T32" t="inlineStr">
        <is>
          <t>Ana</t>
        </is>
      </c>
      <c r="U32" t="inlineStr">
        <is>
          <t>Sin acción</t>
        </is>
      </c>
      <c r="V32" t="inlineStr">
        <is>
          <t>Pendiente de confirmación de pago</t>
        </is>
      </c>
      <c r="Y32" t="inlineStr">
        <is>
          <t>2025-T3</t>
        </is>
      </c>
      <c r="Z32">
        <f>IF(AND(M38&gt;0,C38&lt;Resumen!$B$3),"Sí","No")</f>
        <v/>
      </c>
      <c r="AA32">
        <f>IF(AND(L38&gt;0,M38&gt;0),"Sí","No")</f>
        <v/>
      </c>
      <c r="AB32">
        <f>IF(J38="USD","Sí","No")</f>
        <v/>
      </c>
    </row>
    <row r="33">
      <c r="A33" t="inlineStr">
        <is>
          <t>FAC-00040</t>
        </is>
      </c>
      <c r="B33" s="33" t="n">
        <v>45907</v>
      </c>
      <c r="C33" s="33" t="n">
        <v>45937</v>
      </c>
      <c r="D33" s="33" t="n">
        <v>45946</v>
      </c>
      <c r="E33" t="inlineStr">
        <is>
          <t>CL-019</t>
        </is>
      </c>
      <c r="F33" t="inlineStr">
        <is>
          <t>Sierra Norte S.A.S.</t>
        </is>
      </c>
      <c r="G33" t="inlineStr">
        <is>
          <t>PyME servicios recurrentes</t>
        </is>
      </c>
      <c r="H33" t="inlineStr">
        <is>
          <t>SRV-002</t>
        </is>
      </c>
      <c r="I33" t="inlineStr">
        <is>
          <t>Soporte operativo</t>
        </is>
      </c>
      <c r="J33" t="inlineStr">
        <is>
          <t>ARS</t>
        </is>
      </c>
      <c r="K33" t="n">
        <v>367000</v>
      </c>
      <c r="L33" t="n">
        <v>367000</v>
      </c>
      <c r="M33" t="n">
        <v>0</v>
      </c>
      <c r="N33" t="n">
        <v>1330</v>
      </c>
      <c r="O33" t="n">
        <v>0</v>
      </c>
      <c r="P33" t="n">
        <v>0</v>
      </c>
      <c r="Q33">
        <f>IF(M41&lt;=0,"Cobrada",IF(L41&gt;0,"Parcial",IF(C41&lt;Resumen!$B$3,"Vencida",IF(C41&lt;=Resumen!$B$3+15,"Por vencer","Pendiente"))))</f>
        <v/>
      </c>
      <c r="R33" t="n">
        <v>0</v>
      </c>
      <c r="S33">
        <f>IF(M41&lt;=0,"Sin prioridad",IF(R41&gt;60,"Alta",IF(R41&gt;30,"Media",IF(C41&lt;=Resumen!$B$3+15,"Media","Baja"))))</f>
        <v/>
      </c>
      <c r="T33" t="inlineStr">
        <is>
          <t>Carlos</t>
        </is>
      </c>
      <c r="U33" t="inlineStr">
        <is>
          <t>Sin acción</t>
        </is>
      </c>
      <c r="V33" t="inlineStr">
        <is>
          <t>Sin respuesta del cliente</t>
        </is>
      </c>
      <c r="Y33" t="inlineStr">
        <is>
          <t>2025-T3</t>
        </is>
      </c>
      <c r="Z33">
        <f>IF(AND(M41&gt;0,C41&lt;Resumen!$B$3),"Sí","No")</f>
        <v/>
      </c>
      <c r="AA33">
        <f>IF(AND(L41&gt;0,M41&gt;0),"Sí","No")</f>
        <v/>
      </c>
      <c r="AB33">
        <f>IF(J41="USD","Sí","No")</f>
        <v/>
      </c>
    </row>
    <row r="34">
      <c r="A34" t="inlineStr">
        <is>
          <t>FAC-00042</t>
        </is>
      </c>
      <c r="B34" s="33" t="n">
        <v>45908</v>
      </c>
      <c r="C34" s="33" t="n">
        <v>45938</v>
      </c>
      <c r="D34" s="33" t="n">
        <v>45959</v>
      </c>
      <c r="E34" t="inlineStr">
        <is>
          <t>CL-008</t>
        </is>
      </c>
      <c r="F34" t="inlineStr">
        <is>
          <t>Faro Administrativo S.A.S.</t>
        </is>
      </c>
      <c r="G34" t="inlineStr">
        <is>
          <t>PyME servicios recurrentes</t>
        </is>
      </c>
      <c r="H34" t="inlineStr">
        <is>
          <t>SRV-003</t>
        </is>
      </c>
      <c r="I34" t="inlineStr">
        <is>
          <t>Consultoría de gestión</t>
        </is>
      </c>
      <c r="J34" t="inlineStr">
        <is>
          <t>USD</t>
        </is>
      </c>
      <c r="K34" t="n">
        <v>2400</v>
      </c>
      <c r="L34" t="n">
        <v>2400</v>
      </c>
      <c r="M34" t="n">
        <v>0</v>
      </c>
      <c r="N34" t="n">
        <v>1330</v>
      </c>
      <c r="O34" t="n">
        <v>0</v>
      </c>
      <c r="P34" t="n">
        <v>0</v>
      </c>
      <c r="Q34">
        <f>IF(M43&lt;=0,"Cobrada",IF(L43&gt;0,"Parcial",IF(C43&lt;Resumen!$B$3,"Vencida",IF(C43&lt;=Resumen!$B$3+15,"Por vencer","Pendiente"))))</f>
        <v/>
      </c>
      <c r="R34" t="n">
        <v>0</v>
      </c>
      <c r="S34">
        <f>IF(M43&lt;=0,"Sin prioridad",IF(R43&gt;60,"Alta",IF(R43&gt;30,"Media",IF(C43&lt;=Resumen!$B$3+15,"Media","Baja"))))</f>
        <v/>
      </c>
      <c r="T34" t="inlineStr">
        <is>
          <t>Sofía</t>
        </is>
      </c>
      <c r="U34" t="inlineStr">
        <is>
          <t>Sin acción</t>
        </is>
      </c>
      <c r="V34" t="inlineStr">
        <is>
          <t>En seguimiento administrativo</t>
        </is>
      </c>
      <c r="Y34" t="inlineStr">
        <is>
          <t>2025-T3</t>
        </is>
      </c>
      <c r="Z34">
        <f>IF(AND(M43&gt;0,C43&lt;Resumen!$B$3),"Sí","No")</f>
        <v/>
      </c>
      <c r="AA34">
        <f>IF(AND(L43&gt;0,M43&gt;0),"Sí","No")</f>
        <v/>
      </c>
      <c r="AB34">
        <f>IF(J43="USD","Sí","No")</f>
        <v/>
      </c>
    </row>
    <row r="35">
      <c r="A35" t="inlineStr">
        <is>
          <t>FAC-00027</t>
        </is>
      </c>
      <c r="B35" s="33" t="n">
        <v>45909</v>
      </c>
      <c r="C35" s="33" t="n">
        <v>45954</v>
      </c>
      <c r="D35" s="33" t="n">
        <v>45990</v>
      </c>
      <c r="E35" t="inlineStr">
        <is>
          <t>CL-010</t>
        </is>
      </c>
      <c r="F35" t="inlineStr">
        <is>
          <t>Horizonte Servicios S.R.L.</t>
        </is>
      </c>
      <c r="G35" t="inlineStr">
        <is>
          <t>PyME servicios recurrentes</t>
        </is>
      </c>
      <c r="H35" t="inlineStr">
        <is>
          <t>SRV-001</t>
        </is>
      </c>
      <c r="I35" t="inlineStr">
        <is>
          <t>Abono mensual administrativo</t>
        </is>
      </c>
      <c r="J35" t="inlineStr">
        <is>
          <t>ARS</t>
        </is>
      </c>
      <c r="K35" t="n">
        <v>808000</v>
      </c>
      <c r="L35" t="n">
        <v>808000</v>
      </c>
      <c r="M35" t="n">
        <v>0</v>
      </c>
      <c r="N35" t="n">
        <v>1330</v>
      </c>
      <c r="O35" t="n">
        <v>0</v>
      </c>
      <c r="P35" t="n">
        <v>0</v>
      </c>
      <c r="Q35">
        <f>IF(M28&lt;=0,"Cobrada",IF(L28&gt;0,"Parcial",IF(C28&lt;Resumen!$B$3,"Vencida",IF(C28&lt;=Resumen!$B$3+15,"Por vencer","Pendiente"))))</f>
        <v/>
      </c>
      <c r="R35" t="n">
        <v>0</v>
      </c>
      <c r="S35">
        <f>IF(M28&lt;=0,"Sin prioridad",IF(R28&gt;60,"Alta",IF(R28&gt;30,"Media",IF(C28&lt;=Resumen!$B$3+15,"Media","Baja"))))</f>
        <v/>
      </c>
      <c r="T35" t="inlineStr">
        <is>
          <t>Matías</t>
        </is>
      </c>
      <c r="U35" t="inlineStr">
        <is>
          <t>Sin acción</t>
        </is>
      </c>
      <c r="V35" t="inlineStr">
        <is>
          <t>Cliente solicita reenvío de factura</t>
        </is>
      </c>
      <c r="Y35" t="inlineStr">
        <is>
          <t>2025-T3</t>
        </is>
      </c>
      <c r="Z35">
        <f>IF(AND(M28&gt;0,C28&lt;Resumen!$B$3),"Sí","No")</f>
        <v/>
      </c>
      <c r="AA35">
        <f>IF(AND(L28&gt;0,M28&gt;0),"Sí","No")</f>
        <v/>
      </c>
      <c r="AB35">
        <f>IF(J28="USD","Sí","No")</f>
        <v/>
      </c>
    </row>
    <row r="36">
      <c r="A36" t="inlineStr">
        <is>
          <t>FAC-00036</t>
        </is>
      </c>
      <c r="B36" s="33" t="n">
        <v>45909</v>
      </c>
      <c r="C36" s="33" t="n">
        <v>45954</v>
      </c>
      <c r="D36" s="33" t="n">
        <v>45967</v>
      </c>
      <c r="E36" t="inlineStr">
        <is>
          <t>CL-007</t>
        </is>
      </c>
      <c r="F36" t="inlineStr">
        <is>
          <t>Eje Comercial S.R.L.</t>
        </is>
      </c>
      <c r="G36" t="inlineStr">
        <is>
          <t>PyME servicios recurrentes</t>
        </is>
      </c>
      <c r="H36" t="inlineStr">
        <is>
          <t>SRV-001</t>
        </is>
      </c>
      <c r="I36" t="inlineStr">
        <is>
          <t>Abono mensual administrativo</t>
        </is>
      </c>
      <c r="J36" t="inlineStr">
        <is>
          <t>ARS</t>
        </is>
      </c>
      <c r="K36" t="n">
        <v>912000</v>
      </c>
      <c r="L36" t="n">
        <v>912000</v>
      </c>
      <c r="M36" t="n">
        <v>0</v>
      </c>
      <c r="N36" t="n">
        <v>1330</v>
      </c>
      <c r="O36" t="n">
        <v>0</v>
      </c>
      <c r="P36" t="n">
        <v>0</v>
      </c>
      <c r="Q36">
        <f>IF(M37&lt;=0,"Cobrada",IF(L37&gt;0,"Parcial",IF(C37&lt;Resumen!$B$3,"Vencida",IF(C37&lt;=Resumen!$B$3+15,"Por vencer","Pendiente"))))</f>
        <v/>
      </c>
      <c r="R36" t="n">
        <v>0</v>
      </c>
      <c r="S36">
        <f>IF(M37&lt;=0,"Sin prioridad",IF(R37&gt;60,"Alta",IF(R37&gt;30,"Media",IF(C37&lt;=Resumen!$B$3+15,"Media","Baja"))))</f>
        <v/>
      </c>
      <c r="T36" t="inlineStr">
        <is>
          <t>Matías</t>
        </is>
      </c>
      <c r="U36" t="inlineStr">
        <is>
          <t>Sin acción</t>
        </is>
      </c>
      <c r="V36" t="inlineStr">
        <is>
          <t>Sin respuesta del cliente</t>
        </is>
      </c>
      <c r="Y36" t="inlineStr">
        <is>
          <t>2025-T3</t>
        </is>
      </c>
      <c r="Z36">
        <f>IF(AND(M37&gt;0,C37&lt;Resumen!$B$3),"Sí","No")</f>
        <v/>
      </c>
      <c r="AA36">
        <f>IF(AND(L37&gt;0,M37&gt;0),"Sí","No")</f>
        <v/>
      </c>
      <c r="AB36">
        <f>IF(J37="USD","Sí","No")</f>
        <v/>
      </c>
    </row>
    <row r="37">
      <c r="A37" t="inlineStr">
        <is>
          <t>FAC-00041</t>
        </is>
      </c>
      <c r="B37" s="33" t="n">
        <v>45909</v>
      </c>
      <c r="C37" s="33" t="n">
        <v>45939</v>
      </c>
      <c r="D37" s="33" t="n">
        <v>45956</v>
      </c>
      <c r="E37" t="inlineStr">
        <is>
          <t>CL-008</t>
        </is>
      </c>
      <c r="F37" t="inlineStr">
        <is>
          <t>Faro Administrativo S.A.S.</t>
        </is>
      </c>
      <c r="G37" t="inlineStr">
        <is>
          <t>PyME servicios recurrentes</t>
        </is>
      </c>
      <c r="H37" t="inlineStr">
        <is>
          <t>SRV-001</t>
        </is>
      </c>
      <c r="I37" t="inlineStr">
        <is>
          <t>Abono mensual administrativo</t>
        </is>
      </c>
      <c r="J37" t="inlineStr">
        <is>
          <t>USD</t>
        </is>
      </c>
      <c r="K37" t="n">
        <v>850</v>
      </c>
      <c r="L37" t="n">
        <v>850</v>
      </c>
      <c r="M37" t="n">
        <v>0</v>
      </c>
      <c r="N37" t="n">
        <v>1330</v>
      </c>
      <c r="O37" t="n">
        <v>0</v>
      </c>
      <c r="P37" t="n">
        <v>0</v>
      </c>
      <c r="Q37">
        <f>IF(M42&lt;=0,"Cobrada",IF(L42&gt;0,"Parcial",IF(C42&lt;Resumen!$B$3,"Vencida",IF(C42&lt;=Resumen!$B$3+15,"Por vencer","Pendiente"))))</f>
        <v/>
      </c>
      <c r="R37" t="n">
        <v>0</v>
      </c>
      <c r="S37">
        <f>IF(M42&lt;=0,"Sin prioridad",IF(R42&gt;60,"Alta",IF(R42&gt;30,"Media",IF(C42&lt;=Resumen!$B$3+15,"Media","Baja"))))</f>
        <v/>
      </c>
      <c r="T37" t="inlineStr">
        <is>
          <t>Sofía</t>
        </is>
      </c>
      <c r="U37" t="inlineStr">
        <is>
          <t>Sin acción</t>
        </is>
      </c>
      <c r="V37" t="inlineStr">
        <is>
          <t>En seguimiento administrativo</t>
        </is>
      </c>
      <c r="Y37" t="inlineStr">
        <is>
          <t>2025-T3</t>
        </is>
      </c>
      <c r="Z37">
        <f>IF(AND(M42&gt;0,C42&lt;Resumen!$B$3),"Sí","No")</f>
        <v/>
      </c>
      <c r="AA37">
        <f>IF(AND(L42&gt;0,M42&gt;0),"Sí","No")</f>
        <v/>
      </c>
      <c r="AB37">
        <f>IF(J42="USD","Sí","No")</f>
        <v/>
      </c>
    </row>
    <row r="38">
      <c r="A38" t="inlineStr">
        <is>
          <t>FAC-00025</t>
        </is>
      </c>
      <c r="B38" s="33" t="n">
        <v>45910</v>
      </c>
      <c r="C38" s="33" t="n">
        <v>45955</v>
      </c>
      <c r="E38" t="inlineStr">
        <is>
          <t>CL-016</t>
        </is>
      </c>
      <c r="F38" t="inlineStr">
        <is>
          <t>Patagonia Gestión S.R.L.</t>
        </is>
      </c>
      <c r="G38" t="inlineStr">
        <is>
          <t>PyME servicios recurrentes</t>
        </is>
      </c>
      <c r="H38" t="inlineStr">
        <is>
          <t>SRV-001</t>
        </is>
      </c>
      <c r="I38" t="inlineStr">
        <is>
          <t>Abono mensual administrativo</t>
        </is>
      </c>
      <c r="J38" t="inlineStr">
        <is>
          <t>ARS</t>
        </is>
      </c>
      <c r="K38" t="n">
        <v>817000</v>
      </c>
      <c r="L38" t="n">
        <v>0</v>
      </c>
      <c r="M38" t="n">
        <v>0</v>
      </c>
      <c r="N38" t="n">
        <v>1330</v>
      </c>
      <c r="O38" t="n">
        <v>0</v>
      </c>
      <c r="P38" t="n">
        <v>0</v>
      </c>
      <c r="Q38">
        <f>IF(M26&lt;=0,"Cobrada",IF(L26&gt;0,"Parcial",IF(C26&lt;Resumen!$B$3,"Vencida",IF(C26&lt;=Resumen!$B$3+15,"Por vencer","Pendiente"))))</f>
        <v/>
      </c>
      <c r="R38" t="n">
        <v>0</v>
      </c>
      <c r="S38">
        <f>IF(M26&lt;=0,"Sin prioridad",IF(R26&gt;60,"Alta",IF(R26&gt;30,"Media",IF(C26&lt;=Resumen!$B$3+15,"Media","Baja"))))</f>
        <v/>
      </c>
      <c r="T38" t="inlineStr">
        <is>
          <t>Matías</t>
        </is>
      </c>
      <c r="U38" t="inlineStr">
        <is>
          <t>Reenviar factura</t>
        </is>
      </c>
      <c r="Y38" t="inlineStr">
        <is>
          <t>2025-T3</t>
        </is>
      </c>
      <c r="Z38">
        <f>IF(AND(M26&gt;0,C26&lt;Resumen!$B$3),"Sí","No")</f>
        <v/>
      </c>
      <c r="AA38">
        <f>IF(AND(L26&gt;0,M26&gt;0),"Sí","No")</f>
        <v/>
      </c>
      <c r="AB38">
        <f>IF(J26="USD","Sí","No")</f>
        <v/>
      </c>
    </row>
    <row r="39">
      <c r="A39" t="inlineStr">
        <is>
          <t>FAC-00038</t>
        </is>
      </c>
      <c r="B39" s="33" t="n">
        <v>45911</v>
      </c>
      <c r="C39" s="33" t="n">
        <v>45956</v>
      </c>
      <c r="E39" t="inlineStr">
        <is>
          <t>CL-007</t>
        </is>
      </c>
      <c r="F39" t="inlineStr">
        <is>
          <t>Eje Comercial S.R.L.</t>
        </is>
      </c>
      <c r="G39" t="inlineStr">
        <is>
          <t>PyME servicios recurrentes</t>
        </is>
      </c>
      <c r="H39" t="inlineStr">
        <is>
          <t>SRV-004</t>
        </is>
      </c>
      <c r="I39" t="inlineStr">
        <is>
          <t>Reporte mensual / tablero de control</t>
        </is>
      </c>
      <c r="J39" t="inlineStr">
        <is>
          <t>USD</t>
        </is>
      </c>
      <c r="K39" t="n">
        <v>1300</v>
      </c>
      <c r="L39" t="n">
        <v>0</v>
      </c>
      <c r="M39" t="n">
        <v>0</v>
      </c>
      <c r="N39" t="n">
        <v>1330</v>
      </c>
      <c r="O39" t="n">
        <v>0</v>
      </c>
      <c r="P39" t="n">
        <v>0</v>
      </c>
      <c r="Q39">
        <f>IF(M39&lt;=0,"Cobrada",IF(L39&gt;0,"Parcial",IF(C39&lt;Resumen!$B$3,"Vencida",IF(C39&lt;=Resumen!$B$3+15,"Por vencer","Pendiente"))))</f>
        <v/>
      </c>
      <c r="R39" t="n">
        <v>0</v>
      </c>
      <c r="S39">
        <f>IF(M39&lt;=0,"Sin prioridad",IF(R39&gt;60,"Alta",IF(R39&gt;30,"Media",IF(C39&lt;=Resumen!$B$3+15,"Media","Baja"))))</f>
        <v/>
      </c>
      <c r="T39" t="inlineStr">
        <is>
          <t>Matías</t>
        </is>
      </c>
      <c r="U39" t="inlineStr">
        <is>
          <t>Reenviar factura</t>
        </is>
      </c>
      <c r="V39" t="inlineStr">
        <is>
          <t>Pago prometido para próxima semana</t>
        </is>
      </c>
      <c r="Y39" t="inlineStr">
        <is>
          <t>2025-T3</t>
        </is>
      </c>
      <c r="Z39">
        <f>IF(AND(M39&gt;0,C39&lt;Resumen!$B$3),"Sí","No")</f>
        <v/>
      </c>
      <c r="AA39">
        <f>IF(AND(L39&gt;0,M39&gt;0),"Sí","No")</f>
        <v/>
      </c>
      <c r="AB39">
        <f>IF(J39="USD","Sí","No")</f>
        <v/>
      </c>
    </row>
    <row r="40">
      <c r="A40" t="inlineStr">
        <is>
          <t>FAC-00043</t>
        </is>
      </c>
      <c r="B40" s="33" t="n">
        <v>45913</v>
      </c>
      <c r="C40" s="33" t="n">
        <v>45928</v>
      </c>
      <c r="D40" s="33" t="n">
        <v>45932</v>
      </c>
      <c r="E40" t="inlineStr">
        <is>
          <t>CL-011</t>
        </is>
      </c>
      <c r="F40" t="inlineStr">
        <is>
          <t>Impulso Gestión S.A.S.</t>
        </is>
      </c>
      <c r="G40" t="inlineStr">
        <is>
          <t>PyME servicios recurrentes</t>
        </is>
      </c>
      <c r="H40" t="inlineStr">
        <is>
          <t>SRV-001</t>
        </is>
      </c>
      <c r="I40" t="inlineStr">
        <is>
          <t>Abono mensual administrativo</t>
        </is>
      </c>
      <c r="J40" t="inlineStr">
        <is>
          <t>ARS</t>
        </is>
      </c>
      <c r="K40" t="n">
        <v>926000</v>
      </c>
      <c r="L40" t="n">
        <v>926000</v>
      </c>
      <c r="M40" t="n">
        <v>0</v>
      </c>
      <c r="N40" t="n">
        <v>1330</v>
      </c>
      <c r="O40" t="n">
        <v>0</v>
      </c>
      <c r="P40" t="n">
        <v>0</v>
      </c>
      <c r="Q40">
        <f>IF(M44&lt;=0,"Cobrada",IF(L44&gt;0,"Parcial",IF(C44&lt;Resumen!$B$3,"Vencida",IF(C44&lt;=Resumen!$B$3+15,"Por vencer","Pendiente"))))</f>
        <v/>
      </c>
      <c r="R40" t="n">
        <v>0</v>
      </c>
      <c r="S40">
        <f>IF(M44&lt;=0,"Sin prioridad",IF(R44&gt;60,"Alta",IF(R44&gt;30,"Media",IF(C44&lt;=Resumen!$B$3+15,"Media","Baja"))))</f>
        <v/>
      </c>
      <c r="T40" t="inlineStr">
        <is>
          <t>Carlos</t>
        </is>
      </c>
      <c r="U40" t="inlineStr">
        <is>
          <t>Sin acción</t>
        </is>
      </c>
      <c r="V40" t="inlineStr">
        <is>
          <t>Cliente solicita reenvío de factura</t>
        </is>
      </c>
      <c r="Y40" t="inlineStr">
        <is>
          <t>2025-T3</t>
        </is>
      </c>
      <c r="Z40">
        <f>IF(AND(M44&gt;0,C44&lt;Resumen!$B$3),"Sí","No")</f>
        <v/>
      </c>
      <c r="AA40">
        <f>IF(AND(L44&gt;0,M44&gt;0),"Sí","No")</f>
        <v/>
      </c>
      <c r="AB40">
        <f>IF(J44="USD","Sí","No")</f>
        <v/>
      </c>
    </row>
    <row r="41">
      <c r="A41" t="inlineStr">
        <is>
          <t>FAC-00046</t>
        </is>
      </c>
      <c r="B41" s="33" t="n">
        <v>45914</v>
      </c>
      <c r="C41" s="33" t="n">
        <v>45959</v>
      </c>
      <c r="D41" s="33" t="n">
        <v>45991</v>
      </c>
      <c r="E41" t="inlineStr">
        <is>
          <t>CL-024</t>
        </is>
      </c>
      <c r="F41" t="inlineStr">
        <is>
          <t>Zonda Gestión S.R.L.</t>
        </is>
      </c>
      <c r="G41" t="inlineStr">
        <is>
          <t>PyME servicios recurrentes</t>
        </is>
      </c>
      <c r="H41" t="inlineStr">
        <is>
          <t>SRV-003</t>
        </is>
      </c>
      <c r="I41" t="inlineStr">
        <is>
          <t>Consultoría de gestión</t>
        </is>
      </c>
      <c r="J41" t="inlineStr">
        <is>
          <t>ARS</t>
        </is>
      </c>
      <c r="K41" t="n">
        <v>1004000</v>
      </c>
      <c r="L41" t="n">
        <v>1004000</v>
      </c>
      <c r="M41" t="n">
        <v>0</v>
      </c>
      <c r="N41" t="n">
        <v>1330</v>
      </c>
      <c r="O41" t="n">
        <v>0</v>
      </c>
      <c r="P41" t="n">
        <v>0</v>
      </c>
      <c r="Q41">
        <f>IF(M47&lt;=0,"Cobrada",IF(L47&gt;0,"Parcial",IF(C47&lt;Resumen!$B$3,"Vencida",IF(C47&lt;=Resumen!$B$3+15,"Por vencer","Pendiente"))))</f>
        <v/>
      </c>
      <c r="R41" t="n">
        <v>0</v>
      </c>
      <c r="S41">
        <f>IF(M47&lt;=0,"Sin prioridad",IF(R47&gt;60,"Alta",IF(R47&gt;30,"Media",IF(C47&lt;=Resumen!$B$3+15,"Media","Baja"))))</f>
        <v/>
      </c>
      <c r="T41" t="inlineStr">
        <is>
          <t>Sofía</t>
        </is>
      </c>
      <c r="U41" t="inlineStr">
        <is>
          <t>Sin acción</t>
        </is>
      </c>
      <c r="V41" t="inlineStr">
        <is>
          <t>Sin respuesta del cliente</t>
        </is>
      </c>
      <c r="Y41" t="inlineStr">
        <is>
          <t>2025-T3</t>
        </is>
      </c>
      <c r="Z41">
        <f>IF(AND(M47&gt;0,C47&lt;Resumen!$B$3),"Sí","No")</f>
        <v/>
      </c>
      <c r="AA41">
        <f>IF(AND(L47&gt;0,M47&gt;0),"Sí","No")</f>
        <v/>
      </c>
      <c r="AB41">
        <f>IF(J47="USD","Sí","No")</f>
        <v/>
      </c>
    </row>
    <row r="42">
      <c r="A42" t="inlineStr">
        <is>
          <t>FAC-00048</t>
        </is>
      </c>
      <c r="B42" s="33" t="n">
        <v>45914</v>
      </c>
      <c r="C42" s="33" t="n">
        <v>45959</v>
      </c>
      <c r="D42" s="33" t="n">
        <v>45972</v>
      </c>
      <c r="E42" t="inlineStr">
        <is>
          <t>CL-012</t>
        </is>
      </c>
      <c r="F42" t="inlineStr">
        <is>
          <t>Litoral Soluciones S.R.L.</t>
        </is>
      </c>
      <c r="G42" t="inlineStr">
        <is>
          <t>PyME servicios recurrentes</t>
        </is>
      </c>
      <c r="H42" t="inlineStr">
        <is>
          <t>SRV-002</t>
        </is>
      </c>
      <c r="I42" t="inlineStr">
        <is>
          <t>Soporte operativo</t>
        </is>
      </c>
      <c r="J42" t="inlineStr">
        <is>
          <t>ARS</t>
        </is>
      </c>
      <c r="K42" t="n">
        <v>832000</v>
      </c>
      <c r="L42" t="n">
        <v>214547.43</v>
      </c>
      <c r="M42" t="n">
        <v>0</v>
      </c>
      <c r="N42" t="n">
        <v>1330</v>
      </c>
      <c r="O42" t="n">
        <v>0</v>
      </c>
      <c r="P42" t="n">
        <v>0</v>
      </c>
      <c r="Q42">
        <f>IF(M49&lt;=0,"Cobrada",IF(L49&gt;0,"Parcial",IF(C49&lt;Resumen!$B$3,"Vencida",IF(C49&lt;=Resumen!$B$3+15,"Por vencer","Pendiente"))))</f>
        <v/>
      </c>
      <c r="R42" t="n">
        <v>0</v>
      </c>
      <c r="S42">
        <f>IF(M49&lt;=0,"Sin prioridad",IF(R49&gt;60,"Alta",IF(R49&gt;30,"Media",IF(C49&lt;=Resumen!$B$3+15,"Media","Baja"))))</f>
        <v/>
      </c>
      <c r="T42" t="inlineStr">
        <is>
          <t>Matías</t>
        </is>
      </c>
      <c r="U42" t="inlineStr">
        <is>
          <t>Reclamar saldo parcial</t>
        </is>
      </c>
      <c r="V42" t="inlineStr">
        <is>
          <t>Sin respuesta del cliente</t>
        </is>
      </c>
      <c r="Y42" t="inlineStr">
        <is>
          <t>2025-T3</t>
        </is>
      </c>
      <c r="Z42">
        <f>IF(AND(M49&gt;0,C49&lt;Resumen!$B$3),"Sí","No")</f>
        <v/>
      </c>
      <c r="AA42">
        <f>IF(AND(L49&gt;0,M49&gt;0),"Sí","No")</f>
        <v/>
      </c>
      <c r="AB42">
        <f>IF(J49="USD","Sí","No")</f>
        <v/>
      </c>
    </row>
    <row r="43">
      <c r="A43" t="inlineStr">
        <is>
          <t>FAC-00032</t>
        </is>
      </c>
      <c r="B43" s="33" t="n">
        <v>45916</v>
      </c>
      <c r="C43" s="33" t="n">
        <v>45931</v>
      </c>
      <c r="D43" s="33" t="n">
        <v>45931</v>
      </c>
      <c r="E43" t="inlineStr">
        <is>
          <t>CL-011</t>
        </is>
      </c>
      <c r="F43" t="inlineStr">
        <is>
          <t>Impulso Gestión S.A.S.</t>
        </is>
      </c>
      <c r="G43" t="inlineStr">
        <is>
          <t>PyME servicios recurrentes</t>
        </is>
      </c>
      <c r="H43" t="inlineStr">
        <is>
          <t>SRV-004</t>
        </is>
      </c>
      <c r="I43" t="inlineStr">
        <is>
          <t>Reporte mensual / tablero de control</t>
        </is>
      </c>
      <c r="J43" t="inlineStr">
        <is>
          <t>ARS</t>
        </is>
      </c>
      <c r="K43" t="n">
        <v>916000</v>
      </c>
      <c r="L43" t="n">
        <v>916000</v>
      </c>
      <c r="M43" t="n">
        <v>0</v>
      </c>
      <c r="N43" t="n">
        <v>1330</v>
      </c>
      <c r="O43" t="n">
        <v>0</v>
      </c>
      <c r="P43" t="n">
        <v>0</v>
      </c>
      <c r="Q43">
        <f>IF(M33&lt;=0,"Cobrada",IF(L33&gt;0,"Parcial",IF(C33&lt;Resumen!$B$3,"Vencida",IF(C33&lt;=Resumen!$B$3+15,"Por vencer","Pendiente"))))</f>
        <v/>
      </c>
      <c r="R43" t="n">
        <v>0</v>
      </c>
      <c r="S43">
        <f>IF(M33&lt;=0,"Sin prioridad",IF(R33&gt;60,"Alta",IF(R33&gt;30,"Media",IF(C33&lt;=Resumen!$B$3+15,"Media","Baja"))))</f>
        <v/>
      </c>
      <c r="T43" t="inlineStr">
        <is>
          <t>Carlos</t>
        </is>
      </c>
      <c r="U43" t="inlineStr">
        <is>
          <t>Sin acción</t>
        </is>
      </c>
      <c r="V43" t="inlineStr">
        <is>
          <t>Sin respuesta del cliente</t>
        </is>
      </c>
      <c r="Y43" t="inlineStr">
        <is>
          <t>2025-T3</t>
        </is>
      </c>
      <c r="Z43">
        <f>IF(AND(M33&gt;0,C33&lt;Resumen!$B$3),"Sí","No")</f>
        <v/>
      </c>
      <c r="AA43">
        <f>IF(AND(L33&gt;0,M33&gt;0),"Sí","No")</f>
        <v/>
      </c>
      <c r="AB43">
        <f>IF(J33="USD","Sí","No")</f>
        <v/>
      </c>
    </row>
    <row r="44">
      <c r="A44" t="inlineStr">
        <is>
          <t>FAC-00045</t>
        </is>
      </c>
      <c r="B44" s="33" t="n">
        <v>45916</v>
      </c>
      <c r="C44" s="33" t="n">
        <v>45946</v>
      </c>
      <c r="D44" s="33" t="n">
        <v>45954</v>
      </c>
      <c r="E44" t="inlineStr">
        <is>
          <t>CL-021</t>
        </is>
      </c>
      <c r="F44" t="inlineStr">
        <is>
          <t>Unión PyME Servicios S.A.</t>
        </is>
      </c>
      <c r="G44" t="inlineStr">
        <is>
          <t>PyME servicios recurrentes</t>
        </is>
      </c>
      <c r="H44" t="inlineStr">
        <is>
          <t>SRV-005</t>
        </is>
      </c>
      <c r="I44" t="inlineStr">
        <is>
          <t>Servicio extraordinario puntual</t>
        </is>
      </c>
      <c r="J44" t="inlineStr">
        <is>
          <t>ARS</t>
        </is>
      </c>
      <c r="K44" t="n">
        <v>1180000</v>
      </c>
      <c r="L44" t="n">
        <v>1180000</v>
      </c>
      <c r="M44" t="n">
        <v>0</v>
      </c>
      <c r="N44" t="n">
        <v>1330</v>
      </c>
      <c r="O44" t="n">
        <v>0</v>
      </c>
      <c r="P44" t="n">
        <v>0</v>
      </c>
      <c r="Q44">
        <f>IF(M46&lt;=0,"Cobrada",IF(L46&gt;0,"Parcial",IF(C46&lt;Resumen!$B$3,"Vencida",IF(C46&lt;=Resumen!$B$3+15,"Por vencer","Pendiente"))))</f>
        <v/>
      </c>
      <c r="R44" t="n">
        <v>0</v>
      </c>
      <c r="S44">
        <f>IF(M46&lt;=0,"Sin prioridad",IF(R46&gt;60,"Alta",IF(R46&gt;30,"Media",IF(C46&lt;=Resumen!$B$3+15,"Media","Baja"))))</f>
        <v/>
      </c>
      <c r="T44" t="inlineStr">
        <is>
          <t>Ana</t>
        </is>
      </c>
      <c r="U44" t="inlineStr">
        <is>
          <t>Sin acción</t>
        </is>
      </c>
      <c r="V44" t="inlineStr">
        <is>
          <t>Pago prometido para próxima semana</t>
        </is>
      </c>
      <c r="Y44" t="inlineStr">
        <is>
          <t>2025-T3</t>
        </is>
      </c>
      <c r="Z44">
        <f>IF(AND(M46&gt;0,C46&lt;Resumen!$B$3),"Sí","No")</f>
        <v/>
      </c>
      <c r="AA44">
        <f>IF(AND(L46&gt;0,M46&gt;0),"Sí","No")</f>
        <v/>
      </c>
      <c r="AB44">
        <f>IF(J46="USD","Sí","No")</f>
        <v/>
      </c>
    </row>
    <row r="45">
      <c r="A45" t="inlineStr">
        <is>
          <t>FAC-00034</t>
        </is>
      </c>
      <c r="B45" s="33" t="n">
        <v>45919</v>
      </c>
      <c r="C45" s="33" t="n">
        <v>45949</v>
      </c>
      <c r="D45" s="33" t="n">
        <v>45986</v>
      </c>
      <c r="E45" t="inlineStr">
        <is>
          <t>CL-008</t>
        </is>
      </c>
      <c r="F45" t="inlineStr">
        <is>
          <t>Faro Administrativo S.A.S.</t>
        </is>
      </c>
      <c r="G45" t="inlineStr">
        <is>
          <t>PyME servicios recurrentes</t>
        </is>
      </c>
      <c r="H45" t="inlineStr">
        <is>
          <t>SRV-003</t>
        </is>
      </c>
      <c r="I45" t="inlineStr">
        <is>
          <t>Consultoría de gestión</t>
        </is>
      </c>
      <c r="J45" t="inlineStr">
        <is>
          <t>USD</t>
        </is>
      </c>
      <c r="K45" t="n">
        <v>1750</v>
      </c>
      <c r="L45" t="n">
        <v>1750</v>
      </c>
      <c r="M45" t="n">
        <v>0</v>
      </c>
      <c r="N45" t="n">
        <v>1330</v>
      </c>
      <c r="O45" t="n">
        <v>0</v>
      </c>
      <c r="P45" t="n">
        <v>0</v>
      </c>
      <c r="Q45">
        <f>IF(M35&lt;=0,"Cobrada",IF(L35&gt;0,"Parcial",IF(C35&lt;Resumen!$B$3,"Vencida",IF(C35&lt;=Resumen!$B$3+15,"Por vencer","Pendiente"))))</f>
        <v/>
      </c>
      <c r="R45" t="n">
        <v>0</v>
      </c>
      <c r="S45">
        <f>IF(M35&lt;=0,"Sin prioridad",IF(R35&gt;60,"Alta",IF(R35&gt;30,"Media",IF(C35&lt;=Resumen!$B$3+15,"Media","Baja"))))</f>
        <v/>
      </c>
      <c r="T45" t="inlineStr">
        <is>
          <t>Sofía</t>
        </is>
      </c>
      <c r="U45" t="inlineStr">
        <is>
          <t>Sin acción</t>
        </is>
      </c>
      <c r="V45" t="inlineStr">
        <is>
          <t>En seguimiento administrativo</t>
        </is>
      </c>
      <c r="Y45" t="inlineStr">
        <is>
          <t>2025-T3</t>
        </is>
      </c>
      <c r="Z45">
        <f>IF(AND(M35&gt;0,C35&lt;Resumen!$B$3),"Sí","No")</f>
        <v/>
      </c>
      <c r="AA45">
        <f>IF(AND(L35&gt;0,M35&gt;0),"Sí","No")</f>
        <v/>
      </c>
      <c r="AB45">
        <f>IF(J35="USD","Sí","No")</f>
        <v/>
      </c>
    </row>
    <row r="46">
      <c r="A46" t="inlineStr">
        <is>
          <t>FAC-00028</t>
        </is>
      </c>
      <c r="B46" s="33" t="n">
        <v>45921</v>
      </c>
      <c r="C46" s="33" t="n">
        <v>45936</v>
      </c>
      <c r="D46" s="33" t="n">
        <v>45949</v>
      </c>
      <c r="E46" t="inlineStr">
        <is>
          <t>CL-001</t>
        </is>
      </c>
      <c r="F46" t="inlineStr">
        <is>
          <t>Altos del Centro S.R.L.</t>
        </is>
      </c>
      <c r="G46" t="inlineStr">
        <is>
          <t>PyME servicios recurrentes</t>
        </is>
      </c>
      <c r="H46" t="inlineStr">
        <is>
          <t>SRV-001</t>
        </is>
      </c>
      <c r="I46" t="inlineStr">
        <is>
          <t>Abono mensual administrativo</t>
        </is>
      </c>
      <c r="J46" t="inlineStr">
        <is>
          <t>ARS</t>
        </is>
      </c>
      <c r="K46" t="n">
        <v>690000</v>
      </c>
      <c r="L46" t="n">
        <v>690000</v>
      </c>
      <c r="M46" t="n">
        <v>0</v>
      </c>
      <c r="N46" t="n">
        <v>1330</v>
      </c>
      <c r="O46" t="n">
        <v>0</v>
      </c>
      <c r="P46" t="n">
        <v>0</v>
      </c>
      <c r="Q46">
        <f>IF(M29&lt;=0,"Cobrada",IF(L29&gt;0,"Parcial",IF(C29&lt;Resumen!$B$3,"Vencida",IF(C29&lt;=Resumen!$B$3+15,"Por vencer","Pendiente"))))</f>
        <v/>
      </c>
      <c r="R46" t="n">
        <v>0</v>
      </c>
      <c r="S46">
        <f>IF(M29&lt;=0,"Sin prioridad",IF(R29&gt;60,"Alta",IF(R29&gt;30,"Media",IF(C29&lt;=Resumen!$B$3+15,"Media","Baja"))))</f>
        <v/>
      </c>
      <c r="T46" t="inlineStr">
        <is>
          <t>Carlos</t>
        </is>
      </c>
      <c r="U46" t="inlineStr">
        <is>
          <t>Sin acción</t>
        </is>
      </c>
      <c r="V46" t="inlineStr">
        <is>
          <t>En seguimiento administrativo</t>
        </is>
      </c>
      <c r="Y46" t="inlineStr">
        <is>
          <t>2025-T3</t>
        </is>
      </c>
      <c r="Z46">
        <f>IF(AND(M29&gt;0,C29&lt;Resumen!$B$3),"Sí","No")</f>
        <v/>
      </c>
      <c r="AA46">
        <f>IF(AND(L29&gt;0,M29&gt;0),"Sí","No")</f>
        <v/>
      </c>
      <c r="AB46">
        <f>IF(J29="USD","Sí","No")</f>
        <v/>
      </c>
    </row>
    <row r="47">
      <c r="A47" t="inlineStr">
        <is>
          <t>FAC-00030</t>
        </is>
      </c>
      <c r="B47" s="33" t="n">
        <v>45923</v>
      </c>
      <c r="C47" s="33" t="n">
        <v>45968</v>
      </c>
      <c r="D47" s="33" t="n">
        <v>45974</v>
      </c>
      <c r="E47" t="inlineStr">
        <is>
          <t>CL-016</t>
        </is>
      </c>
      <c r="F47" t="inlineStr">
        <is>
          <t>Patagonia Gestión S.R.L.</t>
        </is>
      </c>
      <c r="G47" t="inlineStr">
        <is>
          <t>PyME servicios recurrentes</t>
        </is>
      </c>
      <c r="H47" t="inlineStr">
        <is>
          <t>SRV-001</t>
        </is>
      </c>
      <c r="I47" t="inlineStr">
        <is>
          <t>Abono mensual administrativo</t>
        </is>
      </c>
      <c r="J47" t="inlineStr">
        <is>
          <t>USD</t>
        </is>
      </c>
      <c r="K47" t="n">
        <v>700</v>
      </c>
      <c r="L47" t="n">
        <v>700</v>
      </c>
      <c r="M47" t="n">
        <v>0</v>
      </c>
      <c r="N47" t="n">
        <v>1330</v>
      </c>
      <c r="O47" t="n">
        <v>0</v>
      </c>
      <c r="P47" t="n">
        <v>0</v>
      </c>
      <c r="Q47">
        <f>IF(M31&lt;=0,"Cobrada",IF(L31&gt;0,"Parcial",IF(C31&lt;Resumen!$B$3,"Vencida",IF(C31&lt;=Resumen!$B$3+15,"Por vencer","Pendiente"))))</f>
        <v/>
      </c>
      <c r="R47" t="n">
        <v>0</v>
      </c>
      <c r="S47">
        <f>IF(M31&lt;=0,"Sin prioridad",IF(R31&gt;60,"Alta",IF(R31&gt;30,"Media",IF(C31&lt;=Resumen!$B$3+15,"Media","Baja"))))</f>
        <v/>
      </c>
      <c r="T47" t="inlineStr">
        <is>
          <t>Matías</t>
        </is>
      </c>
      <c r="U47" t="inlineStr">
        <is>
          <t>Sin acción</t>
        </is>
      </c>
      <c r="V47" t="inlineStr">
        <is>
          <t>Pendiente de confirmación de pago</t>
        </is>
      </c>
      <c r="Y47" t="inlineStr">
        <is>
          <t>2025-T3</t>
        </is>
      </c>
      <c r="Z47">
        <f>IF(AND(M31&gt;0,C31&lt;Resumen!$B$3),"Sí","No")</f>
        <v/>
      </c>
      <c r="AA47">
        <f>IF(AND(L31&gt;0,M31&gt;0),"Sí","No")</f>
        <v/>
      </c>
      <c r="AB47">
        <f>IF(J31="USD","Sí","No")</f>
        <v/>
      </c>
    </row>
    <row r="48">
      <c r="A48" t="inlineStr">
        <is>
          <t>FAC-00049</t>
        </is>
      </c>
      <c r="B48" s="33" t="n">
        <v>45925</v>
      </c>
      <c r="C48" s="33" t="n">
        <v>45940</v>
      </c>
      <c r="D48" s="33" t="n">
        <v>45949</v>
      </c>
      <c r="E48" t="inlineStr">
        <is>
          <t>CL-015</t>
        </is>
      </c>
      <c r="F48" t="inlineStr">
        <is>
          <t>Órbita Servicios S.A.S.</t>
        </is>
      </c>
      <c r="G48" t="inlineStr">
        <is>
          <t>PyME servicios recurrentes</t>
        </is>
      </c>
      <c r="H48" t="inlineStr">
        <is>
          <t>SRV-002</t>
        </is>
      </c>
      <c r="I48" t="inlineStr">
        <is>
          <t>Soporte operativo</t>
        </is>
      </c>
      <c r="J48" t="inlineStr">
        <is>
          <t>ARS</t>
        </is>
      </c>
      <c r="K48" t="n">
        <v>534000</v>
      </c>
      <c r="L48" t="n">
        <v>534000</v>
      </c>
      <c r="M48" t="n">
        <v>0</v>
      </c>
      <c r="N48" t="n">
        <v>1330</v>
      </c>
      <c r="O48" t="n">
        <v>0</v>
      </c>
      <c r="P48" t="n">
        <v>0</v>
      </c>
      <c r="Q48">
        <f>IF(M50&lt;=0,"Cobrada",IF(L50&gt;0,"Parcial",IF(C50&lt;Resumen!$B$3,"Vencida",IF(C50&lt;=Resumen!$B$3+15,"Por vencer","Pendiente"))))</f>
        <v/>
      </c>
      <c r="R48" t="n">
        <v>0</v>
      </c>
      <c r="S48">
        <f>IF(M50&lt;=0,"Sin prioridad",IF(R50&gt;60,"Alta",IF(R50&gt;30,"Media",IF(C50&lt;=Resumen!$B$3+15,"Media","Baja"))))</f>
        <v/>
      </c>
      <c r="T48" t="inlineStr">
        <is>
          <t>Matías</t>
        </is>
      </c>
      <c r="U48" t="inlineStr">
        <is>
          <t>Sin acción</t>
        </is>
      </c>
      <c r="V48" t="inlineStr">
        <is>
          <t>Pago prometido para próxima semana</t>
        </is>
      </c>
      <c r="Y48" t="inlineStr">
        <is>
          <t>2025-T3</t>
        </is>
      </c>
      <c r="Z48">
        <f>IF(AND(M50&gt;0,C50&lt;Resumen!$B$3),"Sí","No")</f>
        <v/>
      </c>
      <c r="AA48">
        <f>IF(AND(L50&gt;0,M50&gt;0),"Sí","No")</f>
        <v/>
      </c>
      <c r="AB48">
        <f>IF(J50="USD","Sí","No")</f>
        <v/>
      </c>
    </row>
    <row r="49">
      <c r="A49" t="inlineStr">
        <is>
          <t>FAC-00026</t>
        </is>
      </c>
      <c r="B49" s="33" t="n">
        <v>45927</v>
      </c>
      <c r="C49" s="33" t="n">
        <v>45957</v>
      </c>
      <c r="D49" s="33" t="n">
        <v>45971</v>
      </c>
      <c r="E49" t="inlineStr">
        <is>
          <t>CL-019</t>
        </is>
      </c>
      <c r="F49" t="inlineStr">
        <is>
          <t>Sierra Norte S.A.S.</t>
        </is>
      </c>
      <c r="G49" t="inlineStr">
        <is>
          <t>PyME servicios recurrentes</t>
        </is>
      </c>
      <c r="H49" t="inlineStr">
        <is>
          <t>SRV-001</t>
        </is>
      </c>
      <c r="I49" t="inlineStr">
        <is>
          <t>Abono mensual administrativo</t>
        </is>
      </c>
      <c r="J49" t="inlineStr">
        <is>
          <t>ARS</t>
        </is>
      </c>
      <c r="K49" t="n">
        <v>533000</v>
      </c>
      <c r="L49" t="n">
        <v>533000</v>
      </c>
      <c r="M49" t="n">
        <v>0</v>
      </c>
      <c r="N49" t="n">
        <v>1330</v>
      </c>
      <c r="O49" t="n">
        <v>0</v>
      </c>
      <c r="P49" t="n">
        <v>0</v>
      </c>
      <c r="Q49">
        <f>IF(M27&lt;=0,"Cobrada",IF(L27&gt;0,"Parcial",IF(C27&lt;Resumen!$B$3,"Vencida",IF(C27&lt;=Resumen!$B$3+15,"Por vencer","Pendiente"))))</f>
        <v/>
      </c>
      <c r="R49" t="n">
        <v>0</v>
      </c>
      <c r="S49">
        <f>IF(M27&lt;=0,"Sin prioridad",IF(R27&gt;60,"Alta",IF(R27&gt;30,"Media",IF(C27&lt;=Resumen!$B$3+15,"Media","Baja"))))</f>
        <v/>
      </c>
      <c r="T49" t="inlineStr">
        <is>
          <t>Carlos</t>
        </is>
      </c>
      <c r="U49" t="inlineStr">
        <is>
          <t>Sin acción</t>
        </is>
      </c>
      <c r="V49" t="inlineStr">
        <is>
          <t>Pago prometido para próxima semana</t>
        </is>
      </c>
      <c r="Y49" t="inlineStr">
        <is>
          <t>2025-T3</t>
        </is>
      </c>
      <c r="Z49">
        <f>IF(AND(M27&gt;0,C27&lt;Resumen!$B$3),"Sí","No")</f>
        <v/>
      </c>
      <c r="AA49">
        <f>IF(AND(L27&gt;0,M27&gt;0),"Sí","No")</f>
        <v/>
      </c>
      <c r="AB49">
        <f>IF(J27="USD","Sí","No")</f>
        <v/>
      </c>
    </row>
    <row r="50">
      <c r="A50" t="inlineStr">
        <is>
          <t>FAC-00039</t>
        </is>
      </c>
      <c r="B50" s="33" t="n">
        <v>45927</v>
      </c>
      <c r="C50" s="33" t="n">
        <v>45957</v>
      </c>
      <c r="E50" t="inlineStr">
        <is>
          <t>CL-019</t>
        </is>
      </c>
      <c r="F50" t="inlineStr">
        <is>
          <t>Sierra Norte S.A.S.</t>
        </is>
      </c>
      <c r="G50" t="inlineStr">
        <is>
          <t>PyME servicios recurrentes</t>
        </is>
      </c>
      <c r="H50" t="inlineStr">
        <is>
          <t>SRV-002</t>
        </is>
      </c>
      <c r="I50" t="inlineStr">
        <is>
          <t>Soporte operativo</t>
        </is>
      </c>
      <c r="J50" t="inlineStr">
        <is>
          <t>USD</t>
        </is>
      </c>
      <c r="K50" t="n">
        <v>750</v>
      </c>
      <c r="L50" t="n">
        <v>0</v>
      </c>
      <c r="M50" t="n">
        <v>0</v>
      </c>
      <c r="N50" t="n">
        <v>1330</v>
      </c>
      <c r="O50" t="n">
        <v>0</v>
      </c>
      <c r="P50" t="n">
        <v>0</v>
      </c>
      <c r="Q50">
        <f>IF(M40&lt;=0,"Cobrada",IF(L40&gt;0,"Parcial",IF(C40&lt;Resumen!$B$3,"Vencida",IF(C40&lt;=Resumen!$B$3+15,"Por vencer","Pendiente"))))</f>
        <v/>
      </c>
      <c r="R50" t="n">
        <v>0</v>
      </c>
      <c r="S50">
        <f>IF(M40&lt;=0,"Sin prioridad",IF(R40&gt;60,"Alta",IF(R40&gt;30,"Media",IF(C40&lt;=Resumen!$B$3+15,"Media","Baja"))))</f>
        <v/>
      </c>
      <c r="T50" t="inlineStr">
        <is>
          <t>Carlos</t>
        </is>
      </c>
      <c r="U50" t="inlineStr">
        <is>
          <t>Reenviar factura</t>
        </is>
      </c>
      <c r="V50" t="inlineStr">
        <is>
          <t>Sin respuesta del cliente</t>
        </is>
      </c>
      <c r="Y50" t="inlineStr">
        <is>
          <t>2025-T3</t>
        </is>
      </c>
      <c r="Z50">
        <f>IF(AND(M40&gt;0,C40&lt;Resumen!$B$3),"Sí","No")</f>
        <v/>
      </c>
      <c r="AA50">
        <f>IF(AND(L40&gt;0,M40&gt;0),"Sí","No")</f>
        <v/>
      </c>
      <c r="AB50">
        <f>IF(J40="USD","Sí","No")</f>
        <v/>
      </c>
    </row>
    <row r="51">
      <c r="A51" t="inlineStr">
        <is>
          <t>FAC-00055</t>
        </is>
      </c>
      <c r="B51" s="33" t="n">
        <v>45932</v>
      </c>
      <c r="C51" s="33" t="n">
        <v>45977</v>
      </c>
      <c r="D51" s="33" t="n">
        <v>45977</v>
      </c>
      <c r="E51" t="inlineStr">
        <is>
          <t>CL-014</t>
        </is>
      </c>
      <c r="F51" t="inlineStr">
        <is>
          <t>Norte Gestión Integral S.R.L.</t>
        </is>
      </c>
      <c r="G51" t="inlineStr">
        <is>
          <t>PyME servicios recurrentes</t>
        </is>
      </c>
      <c r="H51" t="inlineStr">
        <is>
          <t>SRV-004</t>
        </is>
      </c>
      <c r="I51" t="inlineStr">
        <is>
          <t>Reporte mensual / tablero de control</t>
        </is>
      </c>
      <c r="J51" t="inlineStr">
        <is>
          <t>USD</t>
        </is>
      </c>
      <c r="K51" t="n">
        <v>1400</v>
      </c>
      <c r="L51" t="n">
        <v>1400</v>
      </c>
      <c r="M51" t="n">
        <v>0</v>
      </c>
      <c r="N51" t="n">
        <v>1354</v>
      </c>
      <c r="O51" t="n">
        <v>0</v>
      </c>
      <c r="P51" t="n">
        <v>0</v>
      </c>
      <c r="Q51">
        <f>IF(M56&lt;=0,"Cobrada",IF(L56&gt;0,"Parcial",IF(C56&lt;Resumen!$B$3,"Vencida",IF(C56&lt;=Resumen!$B$3+15,"Por vencer","Pendiente"))))</f>
        <v/>
      </c>
      <c r="R51" t="n">
        <v>0</v>
      </c>
      <c r="S51">
        <f>IF(M56&lt;=0,"Sin prioridad",IF(R56&gt;60,"Alta",IF(R56&gt;30,"Media",IF(C56&lt;=Resumen!$B$3+15,"Media","Baja"))))</f>
        <v/>
      </c>
      <c r="T51" t="inlineStr">
        <is>
          <t>Carlos</t>
        </is>
      </c>
      <c r="U51" t="inlineStr">
        <is>
          <t>Sin acción</t>
        </is>
      </c>
      <c r="V51" t="inlineStr">
        <is>
          <t>Sin respuesta del cliente</t>
        </is>
      </c>
      <c r="Y51" t="inlineStr">
        <is>
          <t>2025-T4</t>
        </is>
      </c>
      <c r="Z51">
        <f>IF(AND(M56&gt;0,C56&lt;Resumen!$B$3),"Sí","No")</f>
        <v/>
      </c>
      <c r="AA51">
        <f>IF(AND(L56&gt;0,M56&gt;0),"Sí","No")</f>
        <v/>
      </c>
      <c r="AB51">
        <f>IF(J56="USD","Sí","No")</f>
        <v/>
      </c>
    </row>
    <row r="52">
      <c r="A52" t="inlineStr">
        <is>
          <t>FAC-00058</t>
        </is>
      </c>
      <c r="B52" s="33" t="n">
        <v>45935</v>
      </c>
      <c r="C52" s="33" t="n">
        <v>45965</v>
      </c>
      <c r="D52" s="33" t="n">
        <v>45969</v>
      </c>
      <c r="E52" t="inlineStr">
        <is>
          <t>CL-019</t>
        </is>
      </c>
      <c r="F52" t="inlineStr">
        <is>
          <t>Sierra Norte S.A.S.</t>
        </is>
      </c>
      <c r="G52" t="inlineStr">
        <is>
          <t>PyME servicios recurrentes</t>
        </is>
      </c>
      <c r="H52" t="inlineStr">
        <is>
          <t>SRV-001</t>
        </is>
      </c>
      <c r="I52" t="inlineStr">
        <is>
          <t>Abono mensual administrativo</t>
        </is>
      </c>
      <c r="J52" t="inlineStr">
        <is>
          <t>ARS</t>
        </is>
      </c>
      <c r="K52" t="n">
        <v>630000</v>
      </c>
      <c r="L52" t="n">
        <v>630000</v>
      </c>
      <c r="M52" t="n">
        <v>0</v>
      </c>
      <c r="N52" t="n">
        <v>1354</v>
      </c>
      <c r="O52" t="n">
        <v>0</v>
      </c>
      <c r="P52" t="n">
        <v>0</v>
      </c>
      <c r="Q52">
        <f>IF(M59&lt;=0,"Cobrada",IF(L59&gt;0,"Parcial",IF(C59&lt;Resumen!$B$3,"Vencida",IF(C59&lt;=Resumen!$B$3+15,"Por vencer","Pendiente"))))</f>
        <v/>
      </c>
      <c r="R52" t="n">
        <v>0</v>
      </c>
      <c r="S52">
        <f>IF(M59&lt;=0,"Sin prioridad",IF(R59&gt;60,"Alta",IF(R59&gt;30,"Media",IF(C59&lt;=Resumen!$B$3+15,"Media","Baja"))))</f>
        <v/>
      </c>
      <c r="T52" t="inlineStr">
        <is>
          <t>Carlos</t>
        </is>
      </c>
      <c r="U52" t="inlineStr">
        <is>
          <t>Sin acción</t>
        </is>
      </c>
      <c r="V52" t="inlineStr">
        <is>
          <t>Sin respuesta del cliente</t>
        </is>
      </c>
      <c r="Y52" t="inlineStr">
        <is>
          <t>2025-T4</t>
        </is>
      </c>
      <c r="Z52">
        <f>IF(AND(M59&gt;0,C59&lt;Resumen!$B$3),"Sí","No")</f>
        <v/>
      </c>
      <c r="AA52">
        <f>IF(AND(L59&gt;0,M59&gt;0),"Sí","No")</f>
        <v/>
      </c>
      <c r="AB52">
        <f>IF(J59="USD","Sí","No")</f>
        <v/>
      </c>
    </row>
    <row r="53">
      <c r="A53" t="inlineStr">
        <is>
          <t>FAC-00065</t>
        </is>
      </c>
      <c r="B53" s="33" t="n">
        <v>45937</v>
      </c>
      <c r="C53" s="33" t="n">
        <v>45982</v>
      </c>
      <c r="E53" t="inlineStr">
        <is>
          <t>CL-024</t>
        </is>
      </c>
      <c r="F53" t="inlineStr">
        <is>
          <t>Zonda Gestión S.R.L.</t>
        </is>
      </c>
      <c r="G53" t="inlineStr">
        <is>
          <t>PyME servicios recurrentes</t>
        </is>
      </c>
      <c r="H53" t="inlineStr">
        <is>
          <t>SRV-002</t>
        </is>
      </c>
      <c r="I53" t="inlineStr">
        <is>
          <t>Soporte operativo</t>
        </is>
      </c>
      <c r="J53" t="inlineStr">
        <is>
          <t>ARS</t>
        </is>
      </c>
      <c r="K53" t="n">
        <v>458000</v>
      </c>
      <c r="L53" t="n">
        <v>0</v>
      </c>
      <c r="M53" t="n">
        <v>0</v>
      </c>
      <c r="N53" t="n">
        <v>1354</v>
      </c>
      <c r="O53" t="n">
        <v>0</v>
      </c>
      <c r="P53" t="n">
        <v>0</v>
      </c>
      <c r="Q53">
        <f>IF(M66&lt;=0,"Cobrada",IF(L66&gt;0,"Parcial",IF(C66&lt;Resumen!$B$3,"Vencida",IF(C66&lt;=Resumen!$B$3+15,"Por vencer","Pendiente"))))</f>
        <v/>
      </c>
      <c r="R53" t="n">
        <v>0</v>
      </c>
      <c r="S53">
        <f>IF(M66&lt;=0,"Sin prioridad",IF(R66&gt;60,"Alta",IF(R66&gt;30,"Media",IF(C66&lt;=Resumen!$B$3+15,"Media","Baja"))))</f>
        <v/>
      </c>
      <c r="T53" t="inlineStr">
        <is>
          <t>Sofía</t>
        </is>
      </c>
      <c r="U53" t="inlineStr">
        <is>
          <t>Reenviar factura</t>
        </is>
      </c>
      <c r="V53" t="inlineStr">
        <is>
          <t>Sin respuesta del cliente</t>
        </is>
      </c>
      <c r="Y53" t="inlineStr">
        <is>
          <t>2025-T4</t>
        </is>
      </c>
      <c r="Z53">
        <f>IF(AND(M66&gt;0,C66&lt;Resumen!$B$3),"Sí","No")</f>
        <v/>
      </c>
      <c r="AA53">
        <f>IF(AND(L66&gt;0,M66&gt;0),"Sí","No")</f>
        <v/>
      </c>
      <c r="AB53">
        <f>IF(J66="USD","Sí","No")</f>
        <v/>
      </c>
    </row>
    <row r="54">
      <c r="A54" t="inlineStr">
        <is>
          <t>FAC-00062</t>
        </is>
      </c>
      <c r="B54" s="33" t="n">
        <v>45938</v>
      </c>
      <c r="C54" s="33" t="n">
        <v>45968</v>
      </c>
      <c r="D54" s="33" t="n">
        <v>45984</v>
      </c>
      <c r="E54" t="inlineStr">
        <is>
          <t>CL-021</t>
        </is>
      </c>
      <c r="F54" t="inlineStr">
        <is>
          <t>Unión PyME Servicios S.A.</t>
        </is>
      </c>
      <c r="G54" t="inlineStr">
        <is>
          <t>PyME servicios recurrentes</t>
        </is>
      </c>
      <c r="H54" t="inlineStr">
        <is>
          <t>SRV-004</t>
        </is>
      </c>
      <c r="I54" t="inlineStr">
        <is>
          <t>Reporte mensual / tablero de control</t>
        </is>
      </c>
      <c r="J54" t="inlineStr">
        <is>
          <t>USD</t>
        </is>
      </c>
      <c r="K54" t="n">
        <v>1050</v>
      </c>
      <c r="L54" t="n">
        <v>380.57</v>
      </c>
      <c r="M54" t="n">
        <v>0</v>
      </c>
      <c r="N54" t="n">
        <v>1354</v>
      </c>
      <c r="O54" t="n">
        <v>0</v>
      </c>
      <c r="P54" t="n">
        <v>0</v>
      </c>
      <c r="Q54">
        <f>IF(M63&lt;=0,"Cobrada",IF(L63&gt;0,"Parcial",IF(C63&lt;Resumen!$B$3,"Vencida",IF(C63&lt;=Resumen!$B$3+15,"Por vencer","Pendiente"))))</f>
        <v/>
      </c>
      <c r="R54" t="n">
        <v>0</v>
      </c>
      <c r="S54">
        <f>IF(M63&lt;=0,"Sin prioridad",IF(R63&gt;60,"Alta",IF(R63&gt;30,"Media",IF(C63&lt;=Resumen!$B$3+15,"Media","Baja"))))</f>
        <v/>
      </c>
      <c r="T54" t="inlineStr">
        <is>
          <t>Ana</t>
        </is>
      </c>
      <c r="U54" t="inlineStr">
        <is>
          <t>Reclamar saldo parcial</t>
        </is>
      </c>
      <c r="V54" t="inlineStr">
        <is>
          <t>Sin respuesta del cliente</t>
        </is>
      </c>
      <c r="Y54" t="inlineStr">
        <is>
          <t>2025-T4</t>
        </is>
      </c>
      <c r="Z54">
        <f>IF(AND(M63&gt;0,C63&lt;Resumen!$B$3),"Sí","No")</f>
        <v/>
      </c>
      <c r="AA54">
        <f>IF(AND(L63&gt;0,M63&gt;0),"Sí","No")</f>
        <v/>
      </c>
      <c r="AB54">
        <f>IF(J63="USD","Sí","No")</f>
        <v/>
      </c>
    </row>
    <row r="55">
      <c r="A55" t="inlineStr">
        <is>
          <t>FAC-00066</t>
        </is>
      </c>
      <c r="B55" s="33" t="n">
        <v>45938</v>
      </c>
      <c r="C55" s="33" t="n">
        <v>45983</v>
      </c>
      <c r="D55" s="33" t="n">
        <v>46017</v>
      </c>
      <c r="E55" t="inlineStr">
        <is>
          <t>CL-024</t>
        </is>
      </c>
      <c r="F55" t="inlineStr">
        <is>
          <t>Zonda Gestión S.R.L.</t>
        </is>
      </c>
      <c r="G55" t="inlineStr">
        <is>
          <t>PyME servicios recurrentes</t>
        </is>
      </c>
      <c r="H55" t="inlineStr">
        <is>
          <t>SRV-001</t>
        </is>
      </c>
      <c r="I55" t="inlineStr">
        <is>
          <t>Abono mensual administrativo</t>
        </is>
      </c>
      <c r="J55" t="inlineStr">
        <is>
          <t>ARS</t>
        </is>
      </c>
      <c r="K55" t="n">
        <v>406000</v>
      </c>
      <c r="L55" t="n">
        <v>176121.31</v>
      </c>
      <c r="M55" t="n">
        <v>0</v>
      </c>
      <c r="N55" t="n">
        <v>1354</v>
      </c>
      <c r="O55" t="n">
        <v>0</v>
      </c>
      <c r="P55" t="n">
        <v>0</v>
      </c>
      <c r="Q55">
        <f>IF(M67&lt;=0,"Cobrada",IF(L67&gt;0,"Parcial",IF(C67&lt;Resumen!$B$3,"Vencida",IF(C67&lt;=Resumen!$B$3+15,"Por vencer","Pendiente"))))</f>
        <v/>
      </c>
      <c r="R55" t="n">
        <v>0</v>
      </c>
      <c r="S55">
        <f>IF(M67&lt;=0,"Sin prioridad",IF(R67&gt;60,"Alta",IF(R67&gt;30,"Media",IF(C67&lt;=Resumen!$B$3+15,"Media","Baja"))))</f>
        <v/>
      </c>
      <c r="T55" t="inlineStr">
        <is>
          <t>Sofía</t>
        </is>
      </c>
      <c r="U55" t="inlineStr">
        <is>
          <t>Reclamar saldo parcial</t>
        </is>
      </c>
      <c r="V55" t="inlineStr">
        <is>
          <t>En seguimiento administrativo</t>
        </is>
      </c>
      <c r="Y55" t="inlineStr">
        <is>
          <t>2025-T4</t>
        </is>
      </c>
      <c r="Z55">
        <f>IF(AND(M67&gt;0,C67&lt;Resumen!$B$3),"Sí","No")</f>
        <v/>
      </c>
      <c r="AA55">
        <f>IF(AND(L67&gt;0,M67&gt;0),"Sí","No")</f>
        <v/>
      </c>
      <c r="AB55">
        <f>IF(J67="USD","Sí","No")</f>
        <v/>
      </c>
    </row>
    <row r="56">
      <c r="A56" t="inlineStr">
        <is>
          <t>FAC-00064</t>
        </is>
      </c>
      <c r="B56" s="33" t="n">
        <v>45940</v>
      </c>
      <c r="C56" s="33" t="n">
        <v>45955</v>
      </c>
      <c r="D56" s="33" t="n">
        <v>45974</v>
      </c>
      <c r="E56" t="inlineStr">
        <is>
          <t>CL-013</t>
        </is>
      </c>
      <c r="F56" t="inlineStr">
        <is>
          <t>Mercurio PyME S.A.</t>
        </is>
      </c>
      <c r="G56" t="inlineStr">
        <is>
          <t>PyME servicios recurrentes</t>
        </is>
      </c>
      <c r="H56" t="inlineStr">
        <is>
          <t>SRV-001</t>
        </is>
      </c>
      <c r="I56" t="inlineStr">
        <is>
          <t>Abono mensual administrativo</t>
        </is>
      </c>
      <c r="J56" t="inlineStr">
        <is>
          <t>ARS</t>
        </is>
      </c>
      <c r="K56" t="n">
        <v>388000</v>
      </c>
      <c r="L56" t="n">
        <v>154883.98</v>
      </c>
      <c r="M56" t="n">
        <v>0</v>
      </c>
      <c r="N56" t="n">
        <v>1354</v>
      </c>
      <c r="O56" t="n">
        <v>0</v>
      </c>
      <c r="P56" t="n">
        <v>0</v>
      </c>
      <c r="Q56">
        <f>IF(M65&lt;=0,"Cobrada",IF(L65&gt;0,"Parcial",IF(C65&lt;Resumen!$B$3,"Vencida",IF(C65&lt;=Resumen!$B$3+15,"Por vencer","Pendiente"))))</f>
        <v/>
      </c>
      <c r="R56" t="n">
        <v>0</v>
      </c>
      <c r="S56">
        <f>IF(M65&lt;=0,"Sin prioridad",IF(R65&gt;60,"Alta",IF(R65&gt;30,"Media",IF(C65&lt;=Resumen!$B$3+15,"Media","Baja"))))</f>
        <v/>
      </c>
      <c r="T56" t="inlineStr">
        <is>
          <t>Sofía</t>
        </is>
      </c>
      <c r="U56" t="inlineStr">
        <is>
          <t>Reclamar saldo parcial</t>
        </is>
      </c>
      <c r="V56" t="inlineStr">
        <is>
          <t>En seguimiento administrativo</t>
        </is>
      </c>
      <c r="Y56" t="inlineStr">
        <is>
          <t>2025-T4</t>
        </is>
      </c>
      <c r="Z56">
        <f>IF(AND(M65&gt;0,C65&lt;Resumen!$B$3),"Sí","No")</f>
        <v/>
      </c>
      <c r="AA56">
        <f>IF(AND(L65&gt;0,M65&gt;0),"Sí","No")</f>
        <v/>
      </c>
      <c r="AB56">
        <f>IF(J65="USD","Sí","No")</f>
        <v/>
      </c>
    </row>
    <row r="57">
      <c r="A57" t="inlineStr">
        <is>
          <t>FAC-00056</t>
        </is>
      </c>
      <c r="B57" s="33" t="n">
        <v>45942</v>
      </c>
      <c r="C57" s="33" t="n">
        <v>45987</v>
      </c>
      <c r="D57" s="33" t="n">
        <v>46017</v>
      </c>
      <c r="E57" t="inlineStr">
        <is>
          <t>CL-024</t>
        </is>
      </c>
      <c r="F57" t="inlineStr">
        <is>
          <t>Zonda Gestión S.R.L.</t>
        </is>
      </c>
      <c r="G57" t="inlineStr">
        <is>
          <t>PyME servicios recurrentes</t>
        </is>
      </c>
      <c r="H57" t="inlineStr">
        <is>
          <t>SRV-001</t>
        </is>
      </c>
      <c r="I57" t="inlineStr">
        <is>
          <t>Abono mensual administrativo</t>
        </is>
      </c>
      <c r="J57" t="inlineStr">
        <is>
          <t>ARS</t>
        </is>
      </c>
      <c r="K57" t="n">
        <v>435000</v>
      </c>
      <c r="L57" t="n">
        <v>435000</v>
      </c>
      <c r="M57" t="n">
        <v>0</v>
      </c>
      <c r="N57" t="n">
        <v>1354</v>
      </c>
      <c r="O57" t="n">
        <v>0</v>
      </c>
      <c r="P57" t="n">
        <v>0</v>
      </c>
      <c r="Q57">
        <f>IF(M57&lt;=0,"Cobrada",IF(L57&gt;0,"Parcial",IF(C57&lt;Resumen!$B$3,"Vencida",IF(C57&lt;=Resumen!$B$3+15,"Por vencer","Pendiente"))))</f>
        <v/>
      </c>
      <c r="R57" t="n">
        <v>0</v>
      </c>
      <c r="S57">
        <f>IF(M57&lt;=0,"Sin prioridad",IF(R57&gt;60,"Alta",IF(R57&gt;30,"Media",IF(C57&lt;=Resumen!$B$3+15,"Media","Baja"))))</f>
        <v/>
      </c>
      <c r="T57" t="inlineStr">
        <is>
          <t>Sofía</t>
        </is>
      </c>
      <c r="U57" t="inlineStr">
        <is>
          <t>Sin acción</t>
        </is>
      </c>
      <c r="V57" t="inlineStr">
        <is>
          <t>Cliente solicita reenvío de factura</t>
        </is>
      </c>
      <c r="Y57" t="inlineStr">
        <is>
          <t>2025-T4</t>
        </is>
      </c>
      <c r="Z57">
        <f>IF(AND(M57&gt;0,C57&lt;Resumen!$B$3),"Sí","No")</f>
        <v/>
      </c>
      <c r="AA57">
        <f>IF(AND(L57&gt;0,M57&gt;0),"Sí","No")</f>
        <v/>
      </c>
      <c r="AB57">
        <f>IF(J57="USD","Sí","No")</f>
        <v/>
      </c>
    </row>
    <row r="58">
      <c r="A58" t="inlineStr">
        <is>
          <t>FAC-00057</t>
        </is>
      </c>
      <c r="B58" s="33" t="n">
        <v>45942</v>
      </c>
      <c r="C58" s="33" t="n">
        <v>45957</v>
      </c>
      <c r="D58" s="33" t="n">
        <v>45969</v>
      </c>
      <c r="E58" t="inlineStr">
        <is>
          <t>CL-023</t>
        </is>
      </c>
      <c r="F58" t="inlineStr">
        <is>
          <t>Vector Administración S.A.S.</t>
        </is>
      </c>
      <c r="G58" t="inlineStr">
        <is>
          <t>PyME servicios recurrentes</t>
        </is>
      </c>
      <c r="H58" t="inlineStr">
        <is>
          <t>SRV-002</t>
        </is>
      </c>
      <c r="I58" t="inlineStr">
        <is>
          <t>Soporte operativo</t>
        </is>
      </c>
      <c r="J58" t="inlineStr">
        <is>
          <t>ARS</t>
        </is>
      </c>
      <c r="K58" t="n">
        <v>746000</v>
      </c>
      <c r="L58" t="n">
        <v>746000</v>
      </c>
      <c r="M58" t="n">
        <v>0</v>
      </c>
      <c r="N58" t="n">
        <v>1354</v>
      </c>
      <c r="O58" t="n">
        <v>0</v>
      </c>
      <c r="P58" t="n">
        <v>0</v>
      </c>
      <c r="Q58">
        <f>IF(M58&lt;=0,"Cobrada",IF(L58&gt;0,"Parcial",IF(C58&lt;Resumen!$B$3,"Vencida",IF(C58&lt;=Resumen!$B$3+15,"Por vencer","Pendiente"))))</f>
        <v/>
      </c>
      <c r="R58" t="n">
        <v>0</v>
      </c>
      <c r="S58">
        <f>IF(M58&lt;=0,"Sin prioridad",IF(R58&gt;60,"Alta",IF(R58&gt;30,"Media",IF(C58&lt;=Resumen!$B$3+15,"Media","Baja"))))</f>
        <v/>
      </c>
      <c r="T58" t="inlineStr">
        <is>
          <t>Ana</t>
        </is>
      </c>
      <c r="U58" t="inlineStr">
        <is>
          <t>Sin acción</t>
        </is>
      </c>
      <c r="V58" t="inlineStr">
        <is>
          <t>Cliente solicita reenvío de factura</t>
        </is>
      </c>
      <c r="Y58" t="inlineStr">
        <is>
          <t>2025-T4</t>
        </is>
      </c>
      <c r="Z58">
        <f>IF(AND(M58&gt;0,C58&lt;Resumen!$B$3),"Sí","No")</f>
        <v/>
      </c>
      <c r="AA58">
        <f>IF(AND(L58&gt;0,M58&gt;0),"Sí","No")</f>
        <v/>
      </c>
      <c r="AB58">
        <f>IF(J58="USD","Sí","No")</f>
        <v/>
      </c>
    </row>
    <row r="59">
      <c r="A59" t="inlineStr">
        <is>
          <t>FAC-00050</t>
        </is>
      </c>
      <c r="B59" s="33" t="n">
        <v>45947</v>
      </c>
      <c r="C59" s="33" t="n">
        <v>45962</v>
      </c>
      <c r="D59" s="33" t="n">
        <v>45963</v>
      </c>
      <c r="E59" t="inlineStr">
        <is>
          <t>CL-005</t>
        </is>
      </c>
      <c r="F59" t="inlineStr">
        <is>
          <t>Cerro Azul S.R.L.</t>
        </is>
      </c>
      <c r="G59" t="inlineStr">
        <is>
          <t>PyME servicios recurrentes</t>
        </is>
      </c>
      <c r="H59" t="inlineStr">
        <is>
          <t>SRV-001</t>
        </is>
      </c>
      <c r="I59" t="inlineStr">
        <is>
          <t>Abono mensual administrativo</t>
        </is>
      </c>
      <c r="J59" t="inlineStr">
        <is>
          <t>ARS</t>
        </is>
      </c>
      <c r="K59" t="n">
        <v>898000</v>
      </c>
      <c r="L59" t="n">
        <v>898000</v>
      </c>
      <c r="M59" t="n">
        <v>0</v>
      </c>
      <c r="N59" t="n">
        <v>1354</v>
      </c>
      <c r="O59" t="n">
        <v>0</v>
      </c>
      <c r="P59" t="n">
        <v>0</v>
      </c>
      <c r="Q59">
        <f>IF(M51&lt;=0,"Cobrada",IF(L51&gt;0,"Parcial",IF(C51&lt;Resumen!$B$3,"Vencida",IF(C51&lt;=Resumen!$B$3+15,"Por vencer","Pendiente"))))</f>
        <v/>
      </c>
      <c r="R59" t="n">
        <v>0</v>
      </c>
      <c r="S59">
        <f>IF(M51&lt;=0,"Sin prioridad",IF(R51&gt;60,"Alta",IF(R51&gt;30,"Media",IF(C51&lt;=Resumen!$B$3+15,"Media","Baja"))))</f>
        <v/>
      </c>
      <c r="T59" t="inlineStr">
        <is>
          <t>Ana</t>
        </is>
      </c>
      <c r="U59" t="inlineStr">
        <is>
          <t>Sin acción</t>
        </is>
      </c>
      <c r="V59" t="inlineStr">
        <is>
          <t>En seguimiento administrativo</t>
        </is>
      </c>
      <c r="Y59" t="inlineStr">
        <is>
          <t>2025-T4</t>
        </is>
      </c>
      <c r="Z59">
        <f>IF(AND(M51&gt;0,C51&lt;Resumen!$B$3),"Sí","No")</f>
        <v/>
      </c>
      <c r="AA59">
        <f>IF(AND(L51&gt;0,M51&gt;0),"Sí","No")</f>
        <v/>
      </c>
      <c r="AB59">
        <f>IF(J51="USD","Sí","No")</f>
        <v/>
      </c>
    </row>
    <row r="60">
      <c r="A60" t="inlineStr">
        <is>
          <t>FAC-00067</t>
        </is>
      </c>
      <c r="B60" s="33" t="n">
        <v>45949</v>
      </c>
      <c r="C60" s="33" t="n">
        <v>45964</v>
      </c>
      <c r="D60" s="33" t="n">
        <v>45980</v>
      </c>
      <c r="E60" t="inlineStr">
        <is>
          <t>CL-001</t>
        </is>
      </c>
      <c r="F60" t="inlineStr">
        <is>
          <t>Altos del Centro S.R.L.</t>
        </is>
      </c>
      <c r="G60" t="inlineStr">
        <is>
          <t>PyME servicios recurrentes</t>
        </is>
      </c>
      <c r="H60" t="inlineStr">
        <is>
          <t>SRV-005</t>
        </is>
      </c>
      <c r="I60" t="inlineStr">
        <is>
          <t>Servicio extraordinario puntual</t>
        </is>
      </c>
      <c r="J60" t="inlineStr">
        <is>
          <t>ARS</t>
        </is>
      </c>
      <c r="K60" t="n">
        <v>1197000</v>
      </c>
      <c r="L60" t="n">
        <v>1197000</v>
      </c>
      <c r="M60" t="n">
        <v>0</v>
      </c>
      <c r="N60" t="n">
        <v>1354</v>
      </c>
      <c r="O60" t="n">
        <v>0</v>
      </c>
      <c r="P60" t="n">
        <v>0</v>
      </c>
      <c r="Q60">
        <f>IF(M68&lt;=0,"Cobrada",IF(L68&gt;0,"Parcial",IF(C68&lt;Resumen!$B$3,"Vencida",IF(C68&lt;=Resumen!$B$3+15,"Por vencer","Pendiente"))))</f>
        <v/>
      </c>
      <c r="R60" t="n">
        <v>0</v>
      </c>
      <c r="S60">
        <f>IF(M68&lt;=0,"Sin prioridad",IF(R68&gt;60,"Alta",IF(R68&gt;30,"Media",IF(C68&lt;=Resumen!$B$3+15,"Media","Baja"))))</f>
        <v/>
      </c>
      <c r="T60" t="inlineStr">
        <is>
          <t>Carlos</t>
        </is>
      </c>
      <c r="U60" t="inlineStr">
        <is>
          <t>Sin acción</t>
        </is>
      </c>
      <c r="V60" t="inlineStr">
        <is>
          <t>En seguimiento administrativo</t>
        </is>
      </c>
      <c r="Y60" t="inlineStr">
        <is>
          <t>2025-T4</t>
        </is>
      </c>
      <c r="Z60">
        <f>IF(AND(M68&gt;0,C68&lt;Resumen!$B$3),"Sí","No")</f>
        <v/>
      </c>
      <c r="AA60">
        <f>IF(AND(L68&gt;0,M68&gt;0),"Sí","No")</f>
        <v/>
      </c>
      <c r="AB60">
        <f>IF(J68="USD","Sí","No")</f>
        <v/>
      </c>
    </row>
    <row r="61">
      <c r="A61" t="inlineStr">
        <is>
          <t>FAC-00052</t>
        </is>
      </c>
      <c r="B61" s="33" t="n">
        <v>45952</v>
      </c>
      <c r="C61" s="33" t="n">
        <v>45967</v>
      </c>
      <c r="D61" s="33" t="n">
        <v>45973</v>
      </c>
      <c r="E61" t="inlineStr">
        <is>
          <t>CL-015</t>
        </is>
      </c>
      <c r="F61" t="inlineStr">
        <is>
          <t>Órbita Servicios S.A.S.</t>
        </is>
      </c>
      <c r="G61" t="inlineStr">
        <is>
          <t>PyME servicios recurrentes</t>
        </is>
      </c>
      <c r="H61" t="inlineStr">
        <is>
          <t>SRV-003</t>
        </is>
      </c>
      <c r="I61" t="inlineStr">
        <is>
          <t>Consultoría de gestión</t>
        </is>
      </c>
      <c r="J61" t="inlineStr">
        <is>
          <t>USD</t>
        </is>
      </c>
      <c r="K61" t="n">
        <v>1250</v>
      </c>
      <c r="L61" t="n">
        <v>1250</v>
      </c>
      <c r="M61" t="n">
        <v>0</v>
      </c>
      <c r="N61" t="n">
        <v>1354</v>
      </c>
      <c r="O61" t="n">
        <v>0</v>
      </c>
      <c r="P61" t="n">
        <v>0</v>
      </c>
      <c r="Q61">
        <f>IF(M53&lt;=0,"Cobrada",IF(L53&gt;0,"Parcial",IF(C53&lt;Resumen!$B$3,"Vencida",IF(C53&lt;=Resumen!$B$3+15,"Por vencer","Pendiente"))))</f>
        <v/>
      </c>
      <c r="R61" t="n">
        <v>0</v>
      </c>
      <c r="S61">
        <f>IF(M53&lt;=0,"Sin prioridad",IF(R53&gt;60,"Alta",IF(R53&gt;30,"Media",IF(C53&lt;=Resumen!$B$3+15,"Media","Baja"))))</f>
        <v/>
      </c>
      <c r="T61" t="inlineStr">
        <is>
          <t>Matías</t>
        </is>
      </c>
      <c r="U61" t="inlineStr">
        <is>
          <t>Sin acción</t>
        </is>
      </c>
      <c r="V61" t="inlineStr">
        <is>
          <t>Pendiente de confirmación de pago</t>
        </is>
      </c>
      <c r="Y61" t="inlineStr">
        <is>
          <t>2025-T4</t>
        </is>
      </c>
      <c r="Z61">
        <f>IF(AND(M53&gt;0,C53&lt;Resumen!$B$3),"Sí","No")</f>
        <v/>
      </c>
      <c r="AA61">
        <f>IF(AND(L53&gt;0,M53&gt;0),"Sí","No")</f>
        <v/>
      </c>
      <c r="AB61">
        <f>IF(J53="USD","Sí","No")</f>
        <v/>
      </c>
    </row>
    <row r="62">
      <c r="A62" t="inlineStr">
        <is>
          <t>FAC-00060</t>
        </is>
      </c>
      <c r="B62" s="33" t="n">
        <v>45952</v>
      </c>
      <c r="C62" s="33" t="n">
        <v>45967</v>
      </c>
      <c r="D62" s="33" t="n">
        <v>45972</v>
      </c>
      <c r="E62" t="inlineStr">
        <is>
          <t>CL-015</t>
        </is>
      </c>
      <c r="F62" t="inlineStr">
        <is>
          <t>Órbita Servicios S.A.S.</t>
        </is>
      </c>
      <c r="G62" t="inlineStr">
        <is>
          <t>PyME servicios recurrentes</t>
        </is>
      </c>
      <c r="H62" t="inlineStr">
        <is>
          <t>SRV-004</t>
        </is>
      </c>
      <c r="I62" t="inlineStr">
        <is>
          <t>Reporte mensual / tablero de control</t>
        </is>
      </c>
      <c r="J62" t="inlineStr">
        <is>
          <t>USD</t>
        </is>
      </c>
      <c r="K62" t="n">
        <v>550</v>
      </c>
      <c r="L62" t="n">
        <v>550</v>
      </c>
      <c r="M62" t="n">
        <v>0</v>
      </c>
      <c r="N62" t="n">
        <v>1354</v>
      </c>
      <c r="O62" t="n">
        <v>0</v>
      </c>
      <c r="P62" t="n">
        <v>0</v>
      </c>
      <c r="Q62">
        <f>IF(M61&lt;=0,"Cobrada",IF(L61&gt;0,"Parcial",IF(C61&lt;Resumen!$B$3,"Vencida",IF(C61&lt;=Resumen!$B$3+15,"Por vencer","Pendiente"))))</f>
        <v/>
      </c>
      <c r="R62" t="n">
        <v>0</v>
      </c>
      <c r="S62">
        <f>IF(M61&lt;=0,"Sin prioridad",IF(R61&gt;60,"Alta",IF(R61&gt;30,"Media",IF(C61&lt;=Resumen!$B$3+15,"Media","Baja"))))</f>
        <v/>
      </c>
      <c r="T62" t="inlineStr">
        <is>
          <t>Matías</t>
        </is>
      </c>
      <c r="U62" t="inlineStr">
        <is>
          <t>Sin acción</t>
        </is>
      </c>
      <c r="Y62" t="inlineStr">
        <is>
          <t>2025-T4</t>
        </is>
      </c>
      <c r="Z62">
        <f>IF(AND(M61&gt;0,C61&lt;Resumen!$B$3),"Sí","No")</f>
        <v/>
      </c>
      <c r="AA62">
        <f>IF(AND(L61&gt;0,M61&gt;0),"Sí","No")</f>
        <v/>
      </c>
      <c r="AB62">
        <f>IF(J61="USD","Sí","No")</f>
        <v/>
      </c>
    </row>
    <row r="63">
      <c r="A63" t="inlineStr">
        <is>
          <t>FAC-00061</t>
        </is>
      </c>
      <c r="B63" s="33" t="n">
        <v>45952</v>
      </c>
      <c r="C63" s="33" t="n">
        <v>45967</v>
      </c>
      <c r="E63" t="inlineStr">
        <is>
          <t>CL-020</t>
        </is>
      </c>
      <c r="F63" t="inlineStr">
        <is>
          <t>Tango Gestión S.R.L.</t>
        </is>
      </c>
      <c r="G63" t="inlineStr">
        <is>
          <t>PyME servicios recurrentes</t>
        </is>
      </c>
      <c r="H63" t="inlineStr">
        <is>
          <t>SRV-004</t>
        </is>
      </c>
      <c r="I63" t="inlineStr">
        <is>
          <t>Reporte mensual / tablero de control</t>
        </is>
      </c>
      <c r="J63" t="inlineStr">
        <is>
          <t>USD</t>
        </is>
      </c>
      <c r="K63" t="n">
        <v>1000</v>
      </c>
      <c r="L63" t="n">
        <v>0</v>
      </c>
      <c r="M63" t="n">
        <v>0</v>
      </c>
      <c r="N63" t="n">
        <v>1354</v>
      </c>
      <c r="O63" t="n">
        <v>0</v>
      </c>
      <c r="P63" t="n">
        <v>0</v>
      </c>
      <c r="Q63">
        <f>IF(M62&lt;=0,"Cobrada",IF(L62&gt;0,"Parcial",IF(C62&lt;Resumen!$B$3,"Vencida",IF(C62&lt;=Resumen!$B$3+15,"Por vencer","Pendiente"))))</f>
        <v/>
      </c>
      <c r="R63" t="n">
        <v>0</v>
      </c>
      <c r="S63">
        <f>IF(M62&lt;=0,"Sin prioridad",IF(R62&gt;60,"Alta",IF(R62&gt;30,"Media",IF(C62&lt;=Resumen!$B$3+15,"Media","Baja"))))</f>
        <v/>
      </c>
      <c r="T63" t="inlineStr">
        <is>
          <t>Ana</t>
        </is>
      </c>
      <c r="U63" t="inlineStr">
        <is>
          <t>Reenviar factura</t>
        </is>
      </c>
      <c r="Y63" t="inlineStr">
        <is>
          <t>2025-T4</t>
        </is>
      </c>
      <c r="Z63">
        <f>IF(AND(M62&gt;0,C62&lt;Resumen!$B$3),"Sí","No")</f>
        <v/>
      </c>
      <c r="AA63">
        <f>IF(AND(L62&gt;0,M62&gt;0),"Sí","No")</f>
        <v/>
      </c>
      <c r="AB63">
        <f>IF(J62="USD","Sí","No")</f>
        <v/>
      </c>
    </row>
    <row r="64">
      <c r="A64" t="inlineStr">
        <is>
          <t>FAC-00051</t>
        </is>
      </c>
      <c r="B64" s="33" t="n">
        <v>45953</v>
      </c>
      <c r="C64" s="33" t="n">
        <v>45998</v>
      </c>
      <c r="D64" s="33" t="n">
        <v>45994</v>
      </c>
      <c r="E64" t="inlineStr">
        <is>
          <t>CL-014</t>
        </is>
      </c>
      <c r="F64" t="inlineStr">
        <is>
          <t>Norte Gestión Integral S.R.L.</t>
        </is>
      </c>
      <c r="G64" t="inlineStr">
        <is>
          <t>PyME servicios recurrentes</t>
        </is>
      </c>
      <c r="H64" t="inlineStr">
        <is>
          <t>SRV-001</t>
        </is>
      </c>
      <c r="I64" t="inlineStr">
        <is>
          <t>Abono mensual administrativo</t>
        </is>
      </c>
      <c r="J64" t="inlineStr">
        <is>
          <t>ARS</t>
        </is>
      </c>
      <c r="K64" t="n">
        <v>801000</v>
      </c>
      <c r="L64" t="n">
        <v>801000</v>
      </c>
      <c r="M64" t="n">
        <v>0</v>
      </c>
      <c r="N64" t="n">
        <v>1354</v>
      </c>
      <c r="O64" t="n">
        <v>0</v>
      </c>
      <c r="P64" t="n">
        <v>0</v>
      </c>
      <c r="Q64">
        <f>IF(M52&lt;=0,"Cobrada",IF(L52&gt;0,"Parcial",IF(C52&lt;Resumen!$B$3,"Vencida",IF(C52&lt;=Resumen!$B$3+15,"Por vencer","Pendiente"))))</f>
        <v/>
      </c>
      <c r="R64" t="n">
        <v>0</v>
      </c>
      <c r="S64">
        <f>IF(M52&lt;=0,"Sin prioridad",IF(R52&gt;60,"Alta",IF(R52&gt;30,"Media",IF(C52&lt;=Resumen!$B$3+15,"Media","Baja"))))</f>
        <v/>
      </c>
      <c r="T64" t="inlineStr">
        <is>
          <t>Carlos</t>
        </is>
      </c>
      <c r="U64" t="inlineStr">
        <is>
          <t>Sin acción</t>
        </is>
      </c>
      <c r="V64" t="inlineStr">
        <is>
          <t>En seguimiento administrativo</t>
        </is>
      </c>
      <c r="Y64" t="inlineStr">
        <is>
          <t>2025-T4</t>
        </is>
      </c>
      <c r="Z64">
        <f>IF(AND(M52&gt;0,C52&lt;Resumen!$B$3),"Sí","No")</f>
        <v/>
      </c>
      <c r="AA64">
        <f>IF(AND(L52&gt;0,M52&gt;0),"Sí","No")</f>
        <v/>
      </c>
      <c r="AB64">
        <f>IF(J52="USD","Sí","No")</f>
        <v/>
      </c>
    </row>
    <row r="65">
      <c r="A65" t="inlineStr">
        <is>
          <t>FAC-00053</t>
        </is>
      </c>
      <c r="B65" s="33" t="n">
        <v>45953</v>
      </c>
      <c r="C65" s="33" t="n">
        <v>45968</v>
      </c>
      <c r="D65" s="33" t="n">
        <v>45987</v>
      </c>
      <c r="E65" t="inlineStr">
        <is>
          <t>CL-020</t>
        </is>
      </c>
      <c r="F65" t="inlineStr">
        <is>
          <t>Tango Gestión S.R.L.</t>
        </is>
      </c>
      <c r="G65" t="inlineStr">
        <is>
          <t>PyME servicios recurrentes</t>
        </is>
      </c>
      <c r="H65" t="inlineStr">
        <is>
          <t>SRV-001</t>
        </is>
      </c>
      <c r="I65" t="inlineStr">
        <is>
          <t>Abono mensual administrativo</t>
        </is>
      </c>
      <c r="J65" t="inlineStr">
        <is>
          <t>USD</t>
        </is>
      </c>
      <c r="K65" t="n">
        <v>500</v>
      </c>
      <c r="L65" t="n">
        <v>500</v>
      </c>
      <c r="M65" t="n">
        <v>0</v>
      </c>
      <c r="N65" t="n">
        <v>1354</v>
      </c>
      <c r="O65" t="n">
        <v>0</v>
      </c>
      <c r="P65" t="n">
        <v>0</v>
      </c>
      <c r="Q65">
        <f>IF(M54&lt;=0,"Cobrada",IF(L54&gt;0,"Parcial",IF(C54&lt;Resumen!$B$3,"Vencida",IF(C54&lt;=Resumen!$B$3+15,"Por vencer","Pendiente"))))</f>
        <v/>
      </c>
      <c r="R65" t="n">
        <v>0</v>
      </c>
      <c r="S65">
        <f>IF(M54&lt;=0,"Sin prioridad",IF(R54&gt;60,"Alta",IF(R54&gt;30,"Media",IF(C54&lt;=Resumen!$B$3+15,"Media","Baja"))))</f>
        <v/>
      </c>
      <c r="T65" t="inlineStr">
        <is>
          <t>Ana</t>
        </is>
      </c>
      <c r="U65" t="inlineStr">
        <is>
          <t>Sin acción</t>
        </is>
      </c>
      <c r="V65" t="inlineStr">
        <is>
          <t>Pago prometido para próxima semana</t>
        </is>
      </c>
      <c r="Y65" t="inlineStr">
        <is>
          <t>2025-T4</t>
        </is>
      </c>
      <c r="Z65">
        <f>IF(AND(M54&gt;0,C54&lt;Resumen!$B$3),"Sí","No")</f>
        <v/>
      </c>
      <c r="AA65">
        <f>IF(AND(L54&gt;0,M54&gt;0),"Sí","No")</f>
        <v/>
      </c>
      <c r="AB65">
        <f>IF(J54="USD","Sí","No")</f>
        <v/>
      </c>
    </row>
    <row r="66">
      <c r="A66" t="inlineStr">
        <is>
          <t>FAC-00054</t>
        </is>
      </c>
      <c r="B66" s="33" t="n">
        <v>45953</v>
      </c>
      <c r="C66" s="33" t="n">
        <v>45968</v>
      </c>
      <c r="D66" s="33" t="n">
        <v>45972</v>
      </c>
      <c r="E66" t="inlineStr">
        <is>
          <t>CL-011</t>
        </is>
      </c>
      <c r="F66" t="inlineStr">
        <is>
          <t>Impulso Gestión S.A.S.</t>
        </is>
      </c>
      <c r="G66" t="inlineStr">
        <is>
          <t>PyME servicios recurrentes</t>
        </is>
      </c>
      <c r="H66" t="inlineStr">
        <is>
          <t>SRV-005</t>
        </is>
      </c>
      <c r="I66" t="inlineStr">
        <is>
          <t>Servicio extraordinario puntual</t>
        </is>
      </c>
      <c r="J66" t="inlineStr">
        <is>
          <t>ARS</t>
        </is>
      </c>
      <c r="K66" t="n">
        <v>715000</v>
      </c>
      <c r="L66" t="n">
        <v>715000</v>
      </c>
      <c r="M66" t="n">
        <v>0</v>
      </c>
      <c r="N66" t="n">
        <v>1354</v>
      </c>
      <c r="O66" t="n">
        <v>0</v>
      </c>
      <c r="P66" t="n">
        <v>0</v>
      </c>
      <c r="Q66">
        <f>IF(M55&lt;=0,"Cobrada",IF(L55&gt;0,"Parcial",IF(C55&lt;Resumen!$B$3,"Vencida",IF(C55&lt;=Resumen!$B$3+15,"Por vencer","Pendiente"))))</f>
        <v/>
      </c>
      <c r="R66" t="n">
        <v>0</v>
      </c>
      <c r="S66">
        <f>IF(M55&lt;=0,"Sin prioridad",IF(R55&gt;60,"Alta",IF(R55&gt;30,"Media",IF(C55&lt;=Resumen!$B$3+15,"Media","Baja"))))</f>
        <v/>
      </c>
      <c r="T66" t="inlineStr">
        <is>
          <t>Carlos</t>
        </is>
      </c>
      <c r="U66" t="inlineStr">
        <is>
          <t>Sin acción</t>
        </is>
      </c>
      <c r="V66" t="inlineStr">
        <is>
          <t>Pendiente de confirmación de pago</t>
        </is>
      </c>
      <c r="Y66" t="inlineStr">
        <is>
          <t>2025-T4</t>
        </is>
      </c>
      <c r="Z66">
        <f>IF(AND(M55&gt;0,C55&lt;Resumen!$B$3),"Sí","No")</f>
        <v/>
      </c>
      <c r="AA66">
        <f>IF(AND(L55&gt;0,M55&gt;0),"Sí","No")</f>
        <v/>
      </c>
      <c r="AB66">
        <f>IF(J55="USD","Sí","No")</f>
        <v/>
      </c>
    </row>
    <row r="67">
      <c r="A67" t="inlineStr">
        <is>
          <t>FAC-00063</t>
        </is>
      </c>
      <c r="B67" s="33" t="n">
        <v>45954</v>
      </c>
      <c r="C67" s="33" t="n">
        <v>45984</v>
      </c>
      <c r="E67" t="inlineStr">
        <is>
          <t>CL-009</t>
        </is>
      </c>
      <c r="F67" t="inlineStr">
        <is>
          <t>Grupo Nexo PyME S.A.</t>
        </is>
      </c>
      <c r="G67" t="inlineStr">
        <is>
          <t>PyME servicios recurrentes</t>
        </is>
      </c>
      <c r="H67" t="inlineStr">
        <is>
          <t>SRV-001</t>
        </is>
      </c>
      <c r="I67" t="inlineStr">
        <is>
          <t>Abono mensual administrativo</t>
        </is>
      </c>
      <c r="J67" t="inlineStr">
        <is>
          <t>ARS</t>
        </is>
      </c>
      <c r="K67" t="n">
        <v>591000</v>
      </c>
      <c r="L67" t="n">
        <v>0</v>
      </c>
      <c r="M67" t="n">
        <v>0</v>
      </c>
      <c r="N67" t="n">
        <v>1354</v>
      </c>
      <c r="O67" t="n">
        <v>0</v>
      </c>
      <c r="P67" t="n">
        <v>0</v>
      </c>
      <c r="Q67">
        <f>IF(M64&lt;=0,"Cobrada",IF(L64&gt;0,"Parcial",IF(C64&lt;Resumen!$B$3,"Vencida",IF(C64&lt;=Resumen!$B$3+15,"Por vencer","Pendiente"))))</f>
        <v/>
      </c>
      <c r="R67" t="n">
        <v>0</v>
      </c>
      <c r="S67">
        <f>IF(M64&lt;=0,"Sin prioridad",IF(R64&gt;60,"Alta",IF(R64&gt;30,"Media",IF(C64&lt;=Resumen!$B$3+15,"Media","Baja"))))</f>
        <v/>
      </c>
      <c r="T67" t="inlineStr">
        <is>
          <t>Ana</t>
        </is>
      </c>
      <c r="U67" t="inlineStr">
        <is>
          <t>Enviar recordatorio</t>
        </is>
      </c>
      <c r="V67" t="inlineStr">
        <is>
          <t>Pago prometido para próxima semana</t>
        </is>
      </c>
      <c r="Y67" t="inlineStr">
        <is>
          <t>2025-T4</t>
        </is>
      </c>
      <c r="Z67">
        <f>IF(AND(M64&gt;0,C64&lt;Resumen!$B$3),"Sí","No")</f>
        <v/>
      </c>
      <c r="AA67">
        <f>IF(AND(L64&gt;0,M64&gt;0),"Sí","No")</f>
        <v/>
      </c>
      <c r="AB67">
        <f>IF(J64="USD","Sí","No")</f>
        <v/>
      </c>
    </row>
    <row r="68">
      <c r="A68" t="inlineStr">
        <is>
          <t>FAC-00059</t>
        </is>
      </c>
      <c r="B68" s="33" t="n">
        <v>45957</v>
      </c>
      <c r="C68" s="33" t="n">
        <v>46002</v>
      </c>
      <c r="E68" t="inlineStr">
        <is>
          <t>CL-022</t>
        </is>
      </c>
      <c r="F68" t="inlineStr">
        <is>
          <t>Valle Operativo S.R.L.</t>
        </is>
      </c>
      <c r="G68" t="inlineStr">
        <is>
          <t>PyME servicios recurrentes</t>
        </is>
      </c>
      <c r="H68" t="inlineStr">
        <is>
          <t>SRV-001</t>
        </is>
      </c>
      <c r="I68" t="inlineStr">
        <is>
          <t>Abono mensual administrativo</t>
        </is>
      </c>
      <c r="J68" t="inlineStr">
        <is>
          <t>ARS</t>
        </is>
      </c>
      <c r="K68" t="n">
        <v>776000</v>
      </c>
      <c r="L68" t="n">
        <v>0</v>
      </c>
      <c r="M68" t="n">
        <v>0</v>
      </c>
      <c r="N68" t="n">
        <v>1354</v>
      </c>
      <c r="O68" t="n">
        <v>0</v>
      </c>
      <c r="P68" t="n">
        <v>0</v>
      </c>
      <c r="Q68">
        <f>IF(M60&lt;=0,"Cobrada",IF(L60&gt;0,"Parcial",IF(C60&lt;Resumen!$B$3,"Vencida",IF(C60&lt;=Resumen!$B$3+15,"Por vencer","Pendiente"))))</f>
        <v/>
      </c>
      <c r="R68" t="n">
        <v>0</v>
      </c>
      <c r="S68">
        <f>IF(M60&lt;=0,"Sin prioridad",IF(R60&gt;60,"Alta",IF(R60&gt;30,"Media",IF(C60&lt;=Resumen!$B$3+15,"Media","Baja"))))</f>
        <v/>
      </c>
      <c r="T68" t="inlineStr">
        <is>
          <t>Ana</t>
        </is>
      </c>
      <c r="U68" t="inlineStr">
        <is>
          <t>Enviar recordatorio</t>
        </is>
      </c>
      <c r="V68" t="inlineStr">
        <is>
          <t>Sin respuesta del cliente</t>
        </is>
      </c>
      <c r="Y68" t="inlineStr">
        <is>
          <t>2025-T4</t>
        </is>
      </c>
      <c r="Z68">
        <f>IF(AND(M60&gt;0,C60&lt;Resumen!$B$3),"Sí","No")</f>
        <v/>
      </c>
      <c r="AA68">
        <f>IF(AND(L60&gt;0,M60&gt;0),"Sí","No")</f>
        <v/>
      </c>
      <c r="AB68">
        <f>IF(J60="USD","Sí","No")</f>
        <v/>
      </c>
    </row>
    <row r="69">
      <c r="A69" t="inlineStr">
        <is>
          <t>FAC-00073</t>
        </is>
      </c>
      <c r="B69" s="33" t="n">
        <v>45967</v>
      </c>
      <c r="C69" s="33" t="n">
        <v>46012</v>
      </c>
      <c r="D69" s="33" t="n">
        <v>46032</v>
      </c>
      <c r="E69" t="inlineStr">
        <is>
          <t>CL-012</t>
        </is>
      </c>
      <c r="F69" t="inlineStr">
        <is>
          <t>Litoral Soluciones S.R.L.</t>
        </is>
      </c>
      <c r="G69" t="inlineStr">
        <is>
          <t>PyME servicios recurrentes</t>
        </is>
      </c>
      <c r="H69" t="inlineStr">
        <is>
          <t>SRV-004</t>
        </is>
      </c>
      <c r="I69" t="inlineStr">
        <is>
          <t>Reporte mensual / tablero de control</t>
        </is>
      </c>
      <c r="J69" t="inlineStr">
        <is>
          <t>USD</t>
        </is>
      </c>
      <c r="K69" t="n">
        <v>1150</v>
      </c>
      <c r="L69" t="n">
        <v>780.4</v>
      </c>
      <c r="M69" t="n">
        <v>0</v>
      </c>
      <c r="N69" t="n">
        <v>1398</v>
      </c>
      <c r="O69" t="n">
        <v>0</v>
      </c>
      <c r="P69" t="n">
        <v>0</v>
      </c>
      <c r="Q69">
        <f>IF(M74&lt;=0,"Cobrada",IF(L74&gt;0,"Parcial",IF(C74&lt;Resumen!$B$3,"Vencida",IF(C74&lt;=Resumen!$B$3+15,"Por vencer","Pendiente"))))</f>
        <v/>
      </c>
      <c r="R69" t="n">
        <v>0</v>
      </c>
      <c r="S69">
        <f>IF(M74&lt;=0,"Sin prioridad",IF(R74&gt;60,"Alta",IF(R74&gt;30,"Media",IF(C74&lt;=Resumen!$B$3+15,"Media","Baja"))))</f>
        <v/>
      </c>
      <c r="T69" t="inlineStr">
        <is>
          <t>Matías</t>
        </is>
      </c>
      <c r="U69" t="inlineStr">
        <is>
          <t>Reclamar saldo parcial</t>
        </is>
      </c>
      <c r="Y69" t="inlineStr">
        <is>
          <t>2025-T4</t>
        </is>
      </c>
      <c r="Z69">
        <f>IF(AND(M74&gt;0,C74&lt;Resumen!$B$3),"Sí","No")</f>
        <v/>
      </c>
      <c r="AA69">
        <f>IF(AND(L74&gt;0,M74&gt;0),"Sí","No")</f>
        <v/>
      </c>
      <c r="AB69">
        <f>IF(J74="USD","Sí","No")</f>
        <v/>
      </c>
    </row>
    <row r="70">
      <c r="A70" t="inlineStr">
        <is>
          <t>FAC-00084</t>
        </is>
      </c>
      <c r="B70" s="33" t="n">
        <v>45968</v>
      </c>
      <c r="C70" s="33" t="n">
        <v>45983</v>
      </c>
      <c r="E70" t="inlineStr">
        <is>
          <t>CL-020</t>
        </is>
      </c>
      <c r="F70" t="inlineStr">
        <is>
          <t>Tango Gestión S.R.L.</t>
        </is>
      </c>
      <c r="G70" t="inlineStr">
        <is>
          <t>PyME servicios recurrentes</t>
        </is>
      </c>
      <c r="H70" t="inlineStr">
        <is>
          <t>SRV-002</t>
        </is>
      </c>
      <c r="I70" t="inlineStr">
        <is>
          <t>Soporte operativo</t>
        </is>
      </c>
      <c r="J70" t="inlineStr">
        <is>
          <t>USD</t>
        </is>
      </c>
      <c r="K70" t="n">
        <v>600</v>
      </c>
      <c r="L70" t="n">
        <v>0</v>
      </c>
      <c r="M70" t="n">
        <v>0</v>
      </c>
      <c r="N70" t="n">
        <v>1398</v>
      </c>
      <c r="O70" t="n">
        <v>0</v>
      </c>
      <c r="P70" t="n">
        <v>0</v>
      </c>
      <c r="Q70">
        <f>IF(M85&lt;=0,"Cobrada",IF(L85&gt;0,"Parcial",IF(C85&lt;Resumen!$B$3,"Vencida",IF(C85&lt;=Resumen!$B$3+15,"Por vencer","Pendiente"))))</f>
        <v/>
      </c>
      <c r="R70" t="n">
        <v>0</v>
      </c>
      <c r="S70">
        <f>IF(M85&lt;=0,"Sin prioridad",IF(R85&gt;60,"Alta",IF(R85&gt;30,"Media",IF(C85&lt;=Resumen!$B$3+15,"Media","Baja"))))</f>
        <v/>
      </c>
      <c r="T70" t="inlineStr">
        <is>
          <t>Ana</t>
        </is>
      </c>
      <c r="U70" t="inlineStr">
        <is>
          <t>Reenviar factura</t>
        </is>
      </c>
      <c r="V70" t="inlineStr">
        <is>
          <t>Sin respuesta del cliente</t>
        </is>
      </c>
      <c r="Y70" t="inlineStr">
        <is>
          <t>2025-T4</t>
        </is>
      </c>
      <c r="Z70">
        <f>IF(AND(M85&gt;0,C85&lt;Resumen!$B$3),"Sí","No")</f>
        <v/>
      </c>
      <c r="AA70">
        <f>IF(AND(L85&gt;0,M85&gt;0),"Sí","No")</f>
        <v/>
      </c>
      <c r="AB70">
        <f>IF(J85="USD","Sí","No")</f>
        <v/>
      </c>
    </row>
    <row r="71">
      <c r="A71" t="inlineStr">
        <is>
          <t>FAC-00091</t>
        </is>
      </c>
      <c r="B71" s="33" t="n">
        <v>45968</v>
      </c>
      <c r="C71" s="33" t="n">
        <v>45998</v>
      </c>
      <c r="D71" s="33" t="n">
        <v>46012</v>
      </c>
      <c r="E71" t="inlineStr">
        <is>
          <t>CL-021</t>
        </is>
      </c>
      <c r="F71" t="inlineStr">
        <is>
          <t>Unión PyME Servicios S.A.</t>
        </is>
      </c>
      <c r="G71" t="inlineStr">
        <is>
          <t>PyME servicios recurrentes</t>
        </is>
      </c>
      <c r="H71" t="inlineStr">
        <is>
          <t>SRV-001</t>
        </is>
      </c>
      <c r="I71" t="inlineStr">
        <is>
          <t>Abono mensual administrativo</t>
        </is>
      </c>
      <c r="J71" t="inlineStr">
        <is>
          <t>ARS</t>
        </is>
      </c>
      <c r="K71" t="n">
        <v>545000</v>
      </c>
      <c r="L71" t="n">
        <v>545000</v>
      </c>
      <c r="M71" t="n">
        <v>0</v>
      </c>
      <c r="N71" t="n">
        <v>1398</v>
      </c>
      <c r="O71" t="n">
        <v>0</v>
      </c>
      <c r="P71" t="n">
        <v>0</v>
      </c>
      <c r="Q71">
        <f>IF(M92&lt;=0,"Cobrada",IF(L92&gt;0,"Parcial",IF(C92&lt;Resumen!$B$3,"Vencida",IF(C92&lt;=Resumen!$B$3+15,"Por vencer","Pendiente"))))</f>
        <v/>
      </c>
      <c r="R71" t="n">
        <v>0</v>
      </c>
      <c r="S71">
        <f>IF(M92&lt;=0,"Sin prioridad",IF(R92&gt;60,"Alta",IF(R92&gt;30,"Media",IF(C92&lt;=Resumen!$B$3+15,"Media","Baja"))))</f>
        <v/>
      </c>
      <c r="T71" t="inlineStr">
        <is>
          <t>Ana</t>
        </is>
      </c>
      <c r="U71" t="inlineStr">
        <is>
          <t>Sin acción</t>
        </is>
      </c>
      <c r="V71" t="inlineStr">
        <is>
          <t>Pago prometido para próxima semana</t>
        </is>
      </c>
      <c r="Y71" t="inlineStr">
        <is>
          <t>2025-T4</t>
        </is>
      </c>
      <c r="Z71">
        <f>IF(AND(M92&gt;0,C92&lt;Resumen!$B$3),"Sí","No")</f>
        <v/>
      </c>
      <c r="AA71">
        <f>IF(AND(L92&gt;0,M92&gt;0),"Sí","No")</f>
        <v/>
      </c>
      <c r="AB71">
        <f>IF(J92="USD","Sí","No")</f>
        <v/>
      </c>
    </row>
    <row r="72">
      <c r="A72" t="inlineStr">
        <is>
          <t>FAC-00075</t>
        </is>
      </c>
      <c r="B72" s="33" t="n">
        <v>45969</v>
      </c>
      <c r="C72" s="33" t="n">
        <v>46014</v>
      </c>
      <c r="D72" s="33" t="n">
        <v>46092</v>
      </c>
      <c r="E72" t="inlineStr">
        <is>
          <t>CL-010</t>
        </is>
      </c>
      <c r="F72" t="inlineStr">
        <is>
          <t>Horizonte Servicios S.R.L.</t>
        </is>
      </c>
      <c r="G72" t="inlineStr">
        <is>
          <t>PyME servicios recurrentes</t>
        </is>
      </c>
      <c r="H72" t="inlineStr">
        <is>
          <t>SRV-001</t>
        </is>
      </c>
      <c r="I72" t="inlineStr">
        <is>
          <t>Abono mensual administrativo</t>
        </is>
      </c>
      <c r="J72" t="inlineStr">
        <is>
          <t>USD</t>
        </is>
      </c>
      <c r="K72" t="n">
        <v>650</v>
      </c>
      <c r="L72" t="n">
        <v>650</v>
      </c>
      <c r="M72" t="n">
        <v>0</v>
      </c>
      <c r="N72" t="n">
        <v>1398</v>
      </c>
      <c r="O72" t="n">
        <v>0</v>
      </c>
      <c r="P72" t="n">
        <v>0</v>
      </c>
      <c r="Q72">
        <f>IF(M76&lt;=0,"Cobrada",IF(L76&gt;0,"Parcial",IF(C76&lt;Resumen!$B$3,"Vencida",IF(C76&lt;=Resumen!$B$3+15,"Por vencer","Pendiente"))))</f>
        <v/>
      </c>
      <c r="R72" t="n">
        <v>0</v>
      </c>
      <c r="S72">
        <f>IF(M76&lt;=0,"Sin prioridad",IF(R76&gt;60,"Alta",IF(R76&gt;30,"Media",IF(C76&lt;=Resumen!$B$3+15,"Media","Baja"))))</f>
        <v/>
      </c>
      <c r="T72" t="inlineStr">
        <is>
          <t>Matías</t>
        </is>
      </c>
      <c r="U72" t="inlineStr">
        <is>
          <t>Sin acción</t>
        </is>
      </c>
      <c r="Y72" t="inlineStr">
        <is>
          <t>2025-T4</t>
        </is>
      </c>
      <c r="Z72">
        <f>IF(AND(M76&gt;0,C76&lt;Resumen!$B$3),"Sí","No")</f>
        <v/>
      </c>
      <c r="AA72">
        <f>IF(AND(L76&gt;0,M76&gt;0),"Sí","No")</f>
        <v/>
      </c>
      <c r="AB72">
        <f>IF(J76="USD","Sí","No")</f>
        <v/>
      </c>
    </row>
    <row r="73">
      <c r="A73" t="inlineStr">
        <is>
          <t>FAC-00082</t>
        </is>
      </c>
      <c r="B73" s="33" t="n">
        <v>45970</v>
      </c>
      <c r="C73" s="33" t="n">
        <v>45985</v>
      </c>
      <c r="E73" t="inlineStr">
        <is>
          <t>CL-003</t>
        </is>
      </c>
      <c r="F73" t="inlineStr">
        <is>
          <t>Arco Norte S.R.L.</t>
        </is>
      </c>
      <c r="G73" t="inlineStr">
        <is>
          <t>PyME servicios recurrentes</t>
        </is>
      </c>
      <c r="H73" t="inlineStr">
        <is>
          <t>SRV-004</t>
        </is>
      </c>
      <c r="I73" t="inlineStr">
        <is>
          <t>Reporte mensual / tablero de control</t>
        </is>
      </c>
      <c r="J73" t="inlineStr">
        <is>
          <t>USD</t>
        </is>
      </c>
      <c r="K73" t="n">
        <v>950</v>
      </c>
      <c r="L73" t="n">
        <v>0</v>
      </c>
      <c r="M73" t="n">
        <v>0</v>
      </c>
      <c r="N73" t="n">
        <v>1398</v>
      </c>
      <c r="O73" t="n">
        <v>0</v>
      </c>
      <c r="P73" t="n">
        <v>0</v>
      </c>
      <c r="Q73">
        <f>IF(M83&lt;=0,"Cobrada",IF(L83&gt;0,"Parcial",IF(C83&lt;Resumen!$B$3,"Vencida",IF(C83&lt;=Resumen!$B$3+15,"Por vencer","Pendiente"))))</f>
        <v/>
      </c>
      <c r="R73" t="n">
        <v>0</v>
      </c>
      <c r="S73">
        <f>IF(M83&lt;=0,"Sin prioridad",IF(R83&gt;60,"Alta",IF(R83&gt;30,"Media",IF(C83&lt;=Resumen!$B$3+15,"Media","Baja"))))</f>
        <v/>
      </c>
      <c r="T73" t="inlineStr">
        <is>
          <t>Sofía</t>
        </is>
      </c>
      <c r="U73" t="inlineStr">
        <is>
          <t>Enviar recordatorio</t>
        </is>
      </c>
      <c r="Y73" t="inlineStr">
        <is>
          <t>2025-T4</t>
        </is>
      </c>
      <c r="Z73">
        <f>IF(AND(M83&gt;0,C83&lt;Resumen!$B$3),"Sí","No")</f>
        <v/>
      </c>
      <c r="AA73">
        <f>IF(AND(L83&gt;0,M83&gt;0),"Sí","No")</f>
        <v/>
      </c>
      <c r="AB73">
        <f>IF(J83="USD","Sí","No")</f>
        <v/>
      </c>
    </row>
    <row r="74">
      <c r="A74" t="inlineStr">
        <is>
          <t>FAC-00079</t>
        </is>
      </c>
      <c r="B74" s="33" t="n">
        <v>45972</v>
      </c>
      <c r="C74" s="33" t="n">
        <v>46017</v>
      </c>
      <c r="D74" s="33" t="n">
        <v>46024</v>
      </c>
      <c r="E74" t="inlineStr">
        <is>
          <t>CL-007</t>
        </is>
      </c>
      <c r="F74" t="inlineStr">
        <is>
          <t>Eje Comercial S.R.L.</t>
        </is>
      </c>
      <c r="G74" t="inlineStr">
        <is>
          <t>PyME servicios recurrentes</t>
        </is>
      </c>
      <c r="H74" t="inlineStr">
        <is>
          <t>SRV-005</t>
        </is>
      </c>
      <c r="I74" t="inlineStr">
        <is>
          <t>Servicio extraordinario puntual</t>
        </is>
      </c>
      <c r="J74" t="inlineStr">
        <is>
          <t>ARS</t>
        </is>
      </c>
      <c r="K74" t="n">
        <v>975000</v>
      </c>
      <c r="L74" t="n">
        <v>975000</v>
      </c>
      <c r="M74" t="n">
        <v>0</v>
      </c>
      <c r="N74" t="n">
        <v>1398</v>
      </c>
      <c r="O74" t="n">
        <v>0</v>
      </c>
      <c r="P74" t="n">
        <v>0</v>
      </c>
      <c r="Q74">
        <f>IF(M80&lt;=0,"Cobrada",IF(L80&gt;0,"Parcial",IF(C80&lt;Resumen!$B$3,"Vencida",IF(C80&lt;=Resumen!$B$3+15,"Por vencer","Pendiente"))))</f>
        <v/>
      </c>
      <c r="R74" t="n">
        <v>0</v>
      </c>
      <c r="S74">
        <f>IF(M80&lt;=0,"Sin prioridad",IF(R80&gt;60,"Alta",IF(R80&gt;30,"Media",IF(C80&lt;=Resumen!$B$3+15,"Media","Baja"))))</f>
        <v/>
      </c>
      <c r="T74" t="inlineStr">
        <is>
          <t>Matías</t>
        </is>
      </c>
      <c r="U74" t="inlineStr">
        <is>
          <t>Sin acción</t>
        </is>
      </c>
      <c r="V74" t="inlineStr">
        <is>
          <t>Cliente solicita reenvío de factura</t>
        </is>
      </c>
      <c r="Y74" t="inlineStr">
        <is>
          <t>2025-T4</t>
        </is>
      </c>
      <c r="Z74">
        <f>IF(AND(M80&gt;0,C80&lt;Resumen!$B$3),"Sí","No")</f>
        <v/>
      </c>
      <c r="AA74">
        <f>IF(AND(L80&gt;0,M80&gt;0),"Sí","No")</f>
        <v/>
      </c>
      <c r="AB74">
        <f>IF(J80="USD","Sí","No")</f>
        <v/>
      </c>
    </row>
    <row r="75">
      <c r="A75" t="inlineStr">
        <is>
          <t>FAC-00069</t>
        </is>
      </c>
      <c r="B75" s="33" t="n">
        <v>45974</v>
      </c>
      <c r="C75" s="33" t="n">
        <v>46019</v>
      </c>
      <c r="D75" s="33" t="n">
        <v>46020</v>
      </c>
      <c r="E75" t="inlineStr">
        <is>
          <t>CL-014</t>
        </is>
      </c>
      <c r="F75" t="inlineStr">
        <is>
          <t>Norte Gestión Integral S.R.L.</t>
        </is>
      </c>
      <c r="G75" t="inlineStr">
        <is>
          <t>PyME servicios recurrentes</t>
        </is>
      </c>
      <c r="H75" t="inlineStr">
        <is>
          <t>SRV-001</t>
        </is>
      </c>
      <c r="I75" t="inlineStr">
        <is>
          <t>Abono mensual administrativo</t>
        </is>
      </c>
      <c r="J75" t="inlineStr">
        <is>
          <t>ARS</t>
        </is>
      </c>
      <c r="K75" t="n">
        <v>861000</v>
      </c>
      <c r="L75" t="n">
        <v>861000</v>
      </c>
      <c r="M75" t="n">
        <v>0</v>
      </c>
      <c r="N75" t="n">
        <v>1398</v>
      </c>
      <c r="O75" t="n">
        <v>0</v>
      </c>
      <c r="P75" t="n">
        <v>0</v>
      </c>
      <c r="Q75">
        <f>IF(M70&lt;=0,"Cobrada",IF(L70&gt;0,"Parcial",IF(C70&lt;Resumen!$B$3,"Vencida",IF(C70&lt;=Resumen!$B$3+15,"Por vencer","Pendiente"))))</f>
        <v/>
      </c>
      <c r="R75" t="n">
        <v>0</v>
      </c>
      <c r="S75">
        <f>IF(M70&lt;=0,"Sin prioridad",IF(R70&gt;60,"Alta",IF(R70&gt;30,"Media",IF(C70&lt;=Resumen!$B$3+15,"Media","Baja"))))</f>
        <v/>
      </c>
      <c r="T75" t="inlineStr">
        <is>
          <t>Carlos</t>
        </is>
      </c>
      <c r="U75" t="inlineStr">
        <is>
          <t>Sin acción</t>
        </is>
      </c>
      <c r="V75" t="inlineStr">
        <is>
          <t>Sin respuesta del cliente</t>
        </is>
      </c>
      <c r="Y75" t="inlineStr">
        <is>
          <t>2025-T4</t>
        </is>
      </c>
      <c r="Z75">
        <f>IF(AND(M70&gt;0,C70&lt;Resumen!$B$3),"Sí","No")</f>
        <v/>
      </c>
      <c r="AA75">
        <f>IF(AND(L70&gt;0,M70&gt;0),"Sí","No")</f>
        <v/>
      </c>
      <c r="AB75">
        <f>IF(J70="USD","Sí","No")</f>
        <v/>
      </c>
    </row>
    <row r="76">
      <c r="A76" t="inlineStr">
        <is>
          <t>FAC-00072</t>
        </is>
      </c>
      <c r="B76" s="33" t="n">
        <v>45974</v>
      </c>
      <c r="C76" s="33" t="n">
        <v>46004</v>
      </c>
      <c r="D76" s="33" t="n">
        <v>46013</v>
      </c>
      <c r="E76" t="inlineStr">
        <is>
          <t>CL-019</t>
        </is>
      </c>
      <c r="F76" t="inlineStr">
        <is>
          <t>Sierra Norte S.A.S.</t>
        </is>
      </c>
      <c r="G76" t="inlineStr">
        <is>
          <t>PyME servicios recurrentes</t>
        </is>
      </c>
      <c r="H76" t="inlineStr">
        <is>
          <t>SRV-002</t>
        </is>
      </c>
      <c r="I76" t="inlineStr">
        <is>
          <t>Soporte operativo</t>
        </is>
      </c>
      <c r="J76" t="inlineStr">
        <is>
          <t>ARS</t>
        </is>
      </c>
      <c r="K76" t="n">
        <v>657000</v>
      </c>
      <c r="L76" t="n">
        <v>452623.92</v>
      </c>
      <c r="M76" t="n">
        <v>0</v>
      </c>
      <c r="N76" t="n">
        <v>1398</v>
      </c>
      <c r="O76" t="n">
        <v>0</v>
      </c>
      <c r="P76" t="n">
        <v>0</v>
      </c>
      <c r="Q76">
        <f>IF(M73&lt;=0,"Cobrada",IF(L73&gt;0,"Parcial",IF(C73&lt;Resumen!$B$3,"Vencida",IF(C73&lt;=Resumen!$B$3+15,"Por vencer","Pendiente"))))</f>
        <v/>
      </c>
      <c r="R76" t="n">
        <v>0</v>
      </c>
      <c r="S76">
        <f>IF(M73&lt;=0,"Sin prioridad",IF(R73&gt;60,"Alta",IF(R73&gt;30,"Media",IF(C73&lt;=Resumen!$B$3+15,"Media","Baja"))))</f>
        <v/>
      </c>
      <c r="T76" t="inlineStr">
        <is>
          <t>Carlos</t>
        </is>
      </c>
      <c r="U76" t="inlineStr">
        <is>
          <t>Reclamar saldo parcial</t>
        </is>
      </c>
      <c r="V76" t="inlineStr">
        <is>
          <t>En seguimiento administrativo</t>
        </is>
      </c>
      <c r="Y76" t="inlineStr">
        <is>
          <t>2025-T4</t>
        </is>
      </c>
      <c r="Z76">
        <f>IF(AND(M73&gt;0,C73&lt;Resumen!$B$3),"Sí","No")</f>
        <v/>
      </c>
      <c r="AA76">
        <f>IF(AND(L73&gt;0,M73&gt;0),"Sí","No")</f>
        <v/>
      </c>
      <c r="AB76">
        <f>IF(J73="USD","Sí","No")</f>
        <v/>
      </c>
    </row>
    <row r="77">
      <c r="A77" t="inlineStr">
        <is>
          <t>FAC-00088</t>
        </is>
      </c>
      <c r="B77" s="33" t="n">
        <v>45974</v>
      </c>
      <c r="C77" s="33" t="n">
        <v>46019</v>
      </c>
      <c r="D77" s="33" t="n">
        <v>46029</v>
      </c>
      <c r="E77" t="inlineStr">
        <is>
          <t>CL-016</t>
        </is>
      </c>
      <c r="F77" t="inlineStr">
        <is>
          <t>Patagonia Gestión S.R.L.</t>
        </is>
      </c>
      <c r="G77" t="inlineStr">
        <is>
          <t>PyME servicios recurrentes</t>
        </is>
      </c>
      <c r="H77" t="inlineStr">
        <is>
          <t>SRV-001</t>
        </is>
      </c>
      <c r="I77" t="inlineStr">
        <is>
          <t>Abono mensual administrativo</t>
        </is>
      </c>
      <c r="J77" t="inlineStr">
        <is>
          <t>ARS</t>
        </is>
      </c>
      <c r="K77" t="n">
        <v>534000</v>
      </c>
      <c r="L77" t="n">
        <v>305290.35</v>
      </c>
      <c r="M77" t="n">
        <v>0</v>
      </c>
      <c r="N77" t="n">
        <v>1398</v>
      </c>
      <c r="O77" t="n">
        <v>0</v>
      </c>
      <c r="P77" t="n">
        <v>0</v>
      </c>
      <c r="Q77">
        <f>IF(M89&lt;=0,"Cobrada",IF(L89&gt;0,"Parcial",IF(C89&lt;Resumen!$B$3,"Vencida",IF(C89&lt;=Resumen!$B$3+15,"Por vencer","Pendiente"))))</f>
        <v/>
      </c>
      <c r="R77" t="n">
        <v>0</v>
      </c>
      <c r="S77">
        <f>IF(M89&lt;=0,"Sin prioridad",IF(R89&gt;60,"Alta",IF(R89&gt;30,"Media",IF(C89&lt;=Resumen!$B$3+15,"Media","Baja"))))</f>
        <v/>
      </c>
      <c r="T77" t="inlineStr">
        <is>
          <t>Matías</t>
        </is>
      </c>
      <c r="U77" t="inlineStr">
        <is>
          <t>Reclamar saldo parcial</t>
        </is>
      </c>
      <c r="V77" t="inlineStr">
        <is>
          <t>Pago prometido para próxima semana</t>
        </is>
      </c>
      <c r="Y77" t="inlineStr">
        <is>
          <t>2025-T4</t>
        </is>
      </c>
      <c r="Z77">
        <f>IF(AND(M89&gt;0,C89&lt;Resumen!$B$3),"Sí","No")</f>
        <v/>
      </c>
      <c r="AA77">
        <f>IF(AND(L89&gt;0,M89&gt;0),"Sí","No")</f>
        <v/>
      </c>
      <c r="AB77">
        <f>IF(J89="USD","Sí","No")</f>
        <v/>
      </c>
    </row>
    <row r="78">
      <c r="A78" t="inlineStr">
        <is>
          <t>FAC-00071</t>
        </is>
      </c>
      <c r="B78" s="33" t="n">
        <v>45976</v>
      </c>
      <c r="C78" s="33" t="n">
        <v>45991</v>
      </c>
      <c r="E78" t="inlineStr">
        <is>
          <t>CL-005</t>
        </is>
      </c>
      <c r="F78" t="inlineStr">
        <is>
          <t>Cerro Azul S.R.L.</t>
        </is>
      </c>
      <c r="G78" t="inlineStr">
        <is>
          <t>PyME servicios recurrentes</t>
        </is>
      </c>
      <c r="H78" t="inlineStr">
        <is>
          <t>SRV-002</t>
        </is>
      </c>
      <c r="I78" t="inlineStr">
        <is>
          <t>Soporte operativo</t>
        </is>
      </c>
      <c r="J78" t="inlineStr">
        <is>
          <t>ARS</t>
        </is>
      </c>
      <c r="K78" t="n">
        <v>356000</v>
      </c>
      <c r="L78" t="n">
        <v>0</v>
      </c>
      <c r="M78" t="n">
        <v>0</v>
      </c>
      <c r="N78" t="n">
        <v>1398</v>
      </c>
      <c r="O78" t="n">
        <v>0</v>
      </c>
      <c r="P78" t="n">
        <v>0</v>
      </c>
      <c r="Q78">
        <f>IF(M72&lt;=0,"Cobrada",IF(L72&gt;0,"Parcial",IF(C72&lt;Resumen!$B$3,"Vencida",IF(C72&lt;=Resumen!$B$3+15,"Por vencer","Pendiente"))))</f>
        <v/>
      </c>
      <c r="R78" t="n">
        <v>0</v>
      </c>
      <c r="S78">
        <f>IF(M72&lt;=0,"Sin prioridad",IF(R72&gt;60,"Alta",IF(R72&gt;30,"Media",IF(C72&lt;=Resumen!$B$3+15,"Media","Baja"))))</f>
        <v/>
      </c>
      <c r="T78" t="inlineStr">
        <is>
          <t>Ana</t>
        </is>
      </c>
      <c r="U78" t="inlineStr">
        <is>
          <t>Reenviar factura</t>
        </is>
      </c>
      <c r="V78" t="inlineStr">
        <is>
          <t>En seguimiento administrativo</t>
        </is>
      </c>
      <c r="Y78" t="inlineStr">
        <is>
          <t>2025-T4</t>
        </is>
      </c>
      <c r="Z78">
        <f>IF(AND(M72&gt;0,C72&lt;Resumen!$B$3),"Sí","No")</f>
        <v/>
      </c>
      <c r="AA78">
        <f>IF(AND(L72&gt;0,M72&gt;0),"Sí","No")</f>
        <v/>
      </c>
      <c r="AB78">
        <f>IF(J72="USD","Sí","No")</f>
        <v/>
      </c>
    </row>
    <row r="79">
      <c r="A79" t="inlineStr">
        <is>
          <t>FAC-00083</t>
        </is>
      </c>
      <c r="B79" s="33" t="n">
        <v>45979</v>
      </c>
      <c r="C79" s="33" t="n">
        <v>46009</v>
      </c>
      <c r="D79" s="33" t="n">
        <v>46012</v>
      </c>
      <c r="E79" t="inlineStr">
        <is>
          <t>CL-002</t>
        </is>
      </c>
      <c r="F79" t="inlineStr">
        <is>
          <t>Andes Gestión S.A.</t>
        </is>
      </c>
      <c r="G79" t="inlineStr">
        <is>
          <t>PyME servicios recurrentes</t>
        </is>
      </c>
      <c r="H79" t="inlineStr">
        <is>
          <t>SRV-001</t>
        </is>
      </c>
      <c r="I79" t="inlineStr">
        <is>
          <t>Abono mensual administrativo</t>
        </is>
      </c>
      <c r="J79" t="inlineStr">
        <is>
          <t>ARS</t>
        </is>
      </c>
      <c r="K79" t="n">
        <v>846000</v>
      </c>
      <c r="L79" t="n">
        <v>846000</v>
      </c>
      <c r="M79" t="n">
        <v>0</v>
      </c>
      <c r="N79" t="n">
        <v>1398</v>
      </c>
      <c r="O79" t="n">
        <v>0</v>
      </c>
      <c r="P79" t="n">
        <v>0</v>
      </c>
      <c r="Q79">
        <f>IF(M84&lt;=0,"Cobrada",IF(L84&gt;0,"Parcial",IF(C84&lt;Resumen!$B$3,"Vencida",IF(C84&lt;=Resumen!$B$3+15,"Por vencer","Pendiente"))))</f>
        <v/>
      </c>
      <c r="R79" t="n">
        <v>0</v>
      </c>
      <c r="S79">
        <f>IF(M84&lt;=0,"Sin prioridad",IF(R84&gt;60,"Alta",IF(R84&gt;30,"Media",IF(C84&lt;=Resumen!$B$3+15,"Media","Baja"))))</f>
        <v/>
      </c>
      <c r="T79" t="inlineStr">
        <is>
          <t>Matías</t>
        </is>
      </c>
      <c r="U79" t="inlineStr">
        <is>
          <t>Sin acción</t>
        </is>
      </c>
      <c r="V79" t="inlineStr">
        <is>
          <t>Cliente solicita reenvío de factura</t>
        </is>
      </c>
      <c r="Y79" t="inlineStr">
        <is>
          <t>2025-T4</t>
        </is>
      </c>
      <c r="Z79">
        <f>IF(AND(M84&gt;0,C84&lt;Resumen!$B$3),"Sí","No")</f>
        <v/>
      </c>
      <c r="AA79">
        <f>IF(AND(L84&gt;0,M84&gt;0),"Sí","No")</f>
        <v/>
      </c>
      <c r="AB79">
        <f>IF(J84="USD","Sí","No")</f>
        <v/>
      </c>
    </row>
    <row r="80">
      <c r="A80" t="inlineStr">
        <is>
          <t>FAC-00085</t>
        </is>
      </c>
      <c r="B80" s="33" t="n">
        <v>45979</v>
      </c>
      <c r="C80" s="33" t="n">
        <v>45994</v>
      </c>
      <c r="E80" t="inlineStr">
        <is>
          <t>CL-003</t>
        </is>
      </c>
      <c r="F80" t="inlineStr">
        <is>
          <t>Arco Norte S.R.L.</t>
        </is>
      </c>
      <c r="G80" t="inlineStr">
        <is>
          <t>PyME servicios recurrentes</t>
        </is>
      </c>
      <c r="H80" t="inlineStr">
        <is>
          <t>SRV-003</t>
        </is>
      </c>
      <c r="I80" t="inlineStr">
        <is>
          <t>Consultoría de gestión</t>
        </is>
      </c>
      <c r="J80" t="inlineStr">
        <is>
          <t>USD</t>
        </is>
      </c>
      <c r="K80" t="n">
        <v>1150</v>
      </c>
      <c r="L80" t="n">
        <v>0</v>
      </c>
      <c r="M80" t="n">
        <v>0</v>
      </c>
      <c r="N80" t="n">
        <v>1398</v>
      </c>
      <c r="O80" t="n">
        <v>0</v>
      </c>
      <c r="P80" t="n">
        <v>0</v>
      </c>
      <c r="Q80">
        <f>IF(M86&lt;=0,"Cobrada",IF(L86&gt;0,"Parcial",IF(C86&lt;Resumen!$B$3,"Vencida",IF(C86&lt;=Resumen!$B$3+15,"Por vencer","Pendiente"))))</f>
        <v/>
      </c>
      <c r="R80" t="n">
        <v>0</v>
      </c>
      <c r="S80">
        <f>IF(M86&lt;=0,"Sin prioridad",IF(R86&gt;60,"Alta",IF(R86&gt;30,"Media",IF(C86&lt;=Resumen!$B$3+15,"Media","Baja"))))</f>
        <v/>
      </c>
      <c r="T80" t="inlineStr">
        <is>
          <t>Sofía</t>
        </is>
      </c>
      <c r="U80" t="inlineStr">
        <is>
          <t>Enviar recordatorio</t>
        </is>
      </c>
      <c r="V80" t="inlineStr">
        <is>
          <t>Cliente solicita reenvío de factura</t>
        </is>
      </c>
      <c r="Y80" t="inlineStr">
        <is>
          <t>2025-T4</t>
        </is>
      </c>
      <c r="Z80">
        <f>IF(AND(M86&gt;0,C86&lt;Resumen!$B$3),"Sí","No")</f>
        <v/>
      </c>
      <c r="AA80">
        <f>IF(AND(L86&gt;0,M86&gt;0),"Sí","No")</f>
        <v/>
      </c>
      <c r="AB80">
        <f>IF(J86="USD","Sí","No")</f>
        <v/>
      </c>
    </row>
    <row r="81">
      <c r="A81" t="inlineStr">
        <is>
          <t>FAC-00087</t>
        </is>
      </c>
      <c r="B81" s="33" t="n">
        <v>45980</v>
      </c>
      <c r="C81" s="33" t="n">
        <v>46025</v>
      </c>
      <c r="D81" s="33" t="n">
        <v>46035</v>
      </c>
      <c r="E81" t="inlineStr">
        <is>
          <t>CL-007</t>
        </is>
      </c>
      <c r="F81" t="inlineStr">
        <is>
          <t>Eje Comercial S.R.L.</t>
        </is>
      </c>
      <c r="G81" t="inlineStr">
        <is>
          <t>PyME servicios recurrentes</t>
        </is>
      </c>
      <c r="H81" t="inlineStr">
        <is>
          <t>SRV-004</t>
        </is>
      </c>
      <c r="I81" t="inlineStr">
        <is>
          <t>Reporte mensual / tablero de control</t>
        </is>
      </c>
      <c r="J81" t="inlineStr">
        <is>
          <t>USD</t>
        </is>
      </c>
      <c r="K81" t="n">
        <v>600</v>
      </c>
      <c r="L81" t="n">
        <v>600</v>
      </c>
      <c r="M81" t="n">
        <v>0</v>
      </c>
      <c r="N81" t="n">
        <v>1398</v>
      </c>
      <c r="O81" t="n">
        <v>0</v>
      </c>
      <c r="P81" t="n">
        <v>0</v>
      </c>
      <c r="Q81">
        <f>IF(M88&lt;=0,"Cobrada",IF(L88&gt;0,"Parcial",IF(C88&lt;Resumen!$B$3,"Vencida",IF(C88&lt;=Resumen!$B$3+15,"Por vencer","Pendiente"))))</f>
        <v/>
      </c>
      <c r="R81" t="n">
        <v>0</v>
      </c>
      <c r="S81">
        <f>IF(M88&lt;=0,"Sin prioridad",IF(R88&gt;60,"Alta",IF(R88&gt;30,"Media",IF(C88&lt;=Resumen!$B$3+15,"Media","Baja"))))</f>
        <v/>
      </c>
      <c r="T81" t="inlineStr">
        <is>
          <t>Matías</t>
        </is>
      </c>
      <c r="U81" t="inlineStr">
        <is>
          <t>Sin acción</t>
        </is>
      </c>
      <c r="V81" t="inlineStr">
        <is>
          <t>Cliente solicita reenvío de factura</t>
        </is>
      </c>
      <c r="Y81" t="inlineStr">
        <is>
          <t>2025-T4</t>
        </is>
      </c>
      <c r="Z81">
        <f>IF(AND(M88&gt;0,C88&lt;Resumen!$B$3),"Sí","No")</f>
        <v/>
      </c>
      <c r="AA81">
        <f>IF(AND(L88&gt;0,M88&gt;0),"Sí","No")</f>
        <v/>
      </c>
      <c r="AB81">
        <f>IF(J88="USD","Sí","No")</f>
        <v/>
      </c>
    </row>
    <row r="82">
      <c r="A82" t="inlineStr">
        <is>
          <t>FAC-00068</t>
        </is>
      </c>
      <c r="B82" s="33" t="n">
        <v>45981</v>
      </c>
      <c r="C82" s="33" t="n">
        <v>46026</v>
      </c>
      <c r="E82" t="inlineStr">
        <is>
          <t>CL-014</t>
        </is>
      </c>
      <c r="F82" t="inlineStr">
        <is>
          <t>Norte Gestión Integral S.R.L.</t>
        </is>
      </c>
      <c r="G82" t="inlineStr">
        <is>
          <t>PyME servicios recurrentes</t>
        </is>
      </c>
      <c r="H82" t="inlineStr">
        <is>
          <t>SRV-002</t>
        </is>
      </c>
      <c r="I82" t="inlineStr">
        <is>
          <t>Soporte operativo</t>
        </is>
      </c>
      <c r="J82" t="inlineStr">
        <is>
          <t>ARS</t>
        </is>
      </c>
      <c r="K82" t="n">
        <v>661000</v>
      </c>
      <c r="L82" t="n">
        <v>0</v>
      </c>
      <c r="M82" t="n">
        <v>0</v>
      </c>
      <c r="N82" t="n">
        <v>1398</v>
      </c>
      <c r="O82" t="n">
        <v>0</v>
      </c>
      <c r="P82" t="n">
        <v>0</v>
      </c>
      <c r="Q82">
        <f>IF(M69&lt;=0,"Cobrada",IF(L69&gt;0,"Parcial",IF(C69&lt;Resumen!$B$3,"Vencida",IF(C69&lt;=Resumen!$B$3+15,"Por vencer","Pendiente"))))</f>
        <v/>
      </c>
      <c r="R82" t="n">
        <v>0</v>
      </c>
      <c r="S82">
        <f>IF(M69&lt;=0,"Sin prioridad",IF(R69&gt;60,"Alta",IF(R69&gt;30,"Media",IF(C69&lt;=Resumen!$B$3+15,"Media","Baja"))))</f>
        <v/>
      </c>
      <c r="T82" t="inlineStr">
        <is>
          <t>Carlos</t>
        </is>
      </c>
      <c r="U82" t="inlineStr">
        <is>
          <t>Enviar recordatorio</t>
        </is>
      </c>
      <c r="V82" t="inlineStr">
        <is>
          <t>Pago prometido para próxima semana</t>
        </is>
      </c>
      <c r="Y82" t="inlineStr">
        <is>
          <t>2025-T4</t>
        </is>
      </c>
      <c r="Z82">
        <f>IF(AND(M69&gt;0,C69&lt;Resumen!$B$3),"Sí","No")</f>
        <v/>
      </c>
      <c r="AA82">
        <f>IF(AND(L69&gt;0,M69&gt;0),"Sí","No")</f>
        <v/>
      </c>
      <c r="AB82">
        <f>IF(J69="USD","Sí","No")</f>
        <v/>
      </c>
    </row>
    <row r="83">
      <c r="A83" t="inlineStr">
        <is>
          <t>FAC-00076</t>
        </is>
      </c>
      <c r="B83" s="33" t="n">
        <v>45981</v>
      </c>
      <c r="C83" s="33" t="n">
        <v>45996</v>
      </c>
      <c r="D83" s="33" t="n">
        <v>46004</v>
      </c>
      <c r="E83" t="inlineStr">
        <is>
          <t>CL-015</t>
        </is>
      </c>
      <c r="F83" t="inlineStr">
        <is>
          <t>Órbita Servicios S.A.S.</t>
        </is>
      </c>
      <c r="G83" t="inlineStr">
        <is>
          <t>PyME servicios recurrentes</t>
        </is>
      </c>
      <c r="H83" t="inlineStr">
        <is>
          <t>SRV-002</t>
        </is>
      </c>
      <c r="I83" t="inlineStr">
        <is>
          <t>Soporte operativo</t>
        </is>
      </c>
      <c r="J83" t="inlineStr">
        <is>
          <t>ARS</t>
        </is>
      </c>
      <c r="K83" t="n">
        <v>763000</v>
      </c>
      <c r="L83" t="n">
        <v>763000</v>
      </c>
      <c r="M83" t="n">
        <v>0</v>
      </c>
      <c r="N83" t="n">
        <v>1398</v>
      </c>
      <c r="O83" t="n">
        <v>0</v>
      </c>
      <c r="P83" t="n">
        <v>0</v>
      </c>
      <c r="Q83">
        <f>IF(M77&lt;=0,"Cobrada",IF(L77&gt;0,"Parcial",IF(C77&lt;Resumen!$B$3,"Vencida",IF(C77&lt;=Resumen!$B$3+15,"Por vencer","Pendiente"))))</f>
        <v/>
      </c>
      <c r="R83" t="n">
        <v>0</v>
      </c>
      <c r="S83">
        <f>IF(M77&lt;=0,"Sin prioridad",IF(R77&gt;60,"Alta",IF(R77&gt;30,"Media",IF(C77&lt;=Resumen!$B$3+15,"Media","Baja"))))</f>
        <v/>
      </c>
      <c r="T83" t="inlineStr">
        <is>
          <t>Matías</t>
        </is>
      </c>
      <c r="U83" t="inlineStr">
        <is>
          <t>Sin acción</t>
        </is>
      </c>
      <c r="V83" t="inlineStr">
        <is>
          <t>En seguimiento administrativo</t>
        </is>
      </c>
      <c r="Y83" t="inlineStr">
        <is>
          <t>2025-T4</t>
        </is>
      </c>
      <c r="Z83">
        <f>IF(AND(M77&gt;0,C77&lt;Resumen!$B$3),"Sí","No")</f>
        <v/>
      </c>
      <c r="AA83">
        <f>IF(AND(L77&gt;0,M77&gt;0),"Sí","No")</f>
        <v/>
      </c>
      <c r="AB83">
        <f>IF(J77="USD","Sí","No")</f>
        <v/>
      </c>
    </row>
    <row r="84">
      <c r="A84" t="inlineStr">
        <is>
          <t>FAC-00077</t>
        </is>
      </c>
      <c r="B84" s="33" t="n">
        <v>45982</v>
      </c>
      <c r="C84" s="33" t="n">
        <v>45997</v>
      </c>
      <c r="D84" s="33" t="n">
        <v>46019</v>
      </c>
      <c r="E84" t="inlineStr">
        <is>
          <t>CL-020</t>
        </is>
      </c>
      <c r="F84" t="inlineStr">
        <is>
          <t>Tango Gestión S.R.L.</t>
        </is>
      </c>
      <c r="G84" t="inlineStr">
        <is>
          <t>PyME servicios recurrentes</t>
        </is>
      </c>
      <c r="H84" t="inlineStr">
        <is>
          <t>SRV-002</t>
        </is>
      </c>
      <c r="I84" t="inlineStr">
        <is>
          <t>Soporte operativo</t>
        </is>
      </c>
      <c r="J84" t="inlineStr">
        <is>
          <t>USD</t>
        </is>
      </c>
      <c r="K84" t="n">
        <v>250</v>
      </c>
      <c r="L84" t="n">
        <v>162.75</v>
      </c>
      <c r="M84" t="n">
        <v>0</v>
      </c>
      <c r="N84" t="n">
        <v>1398</v>
      </c>
      <c r="O84" t="n">
        <v>0</v>
      </c>
      <c r="P84" t="n">
        <v>0</v>
      </c>
      <c r="Q84">
        <f>IF(M78&lt;=0,"Cobrada",IF(L78&gt;0,"Parcial",IF(C78&lt;Resumen!$B$3,"Vencida",IF(C78&lt;=Resumen!$B$3+15,"Por vencer","Pendiente"))))</f>
        <v/>
      </c>
      <c r="R84" t="n">
        <v>0</v>
      </c>
      <c r="S84">
        <f>IF(M78&lt;=0,"Sin prioridad",IF(R78&gt;60,"Alta",IF(R78&gt;30,"Media",IF(C78&lt;=Resumen!$B$3+15,"Media","Baja"))))</f>
        <v/>
      </c>
      <c r="T84" t="inlineStr">
        <is>
          <t>Ana</t>
        </is>
      </c>
      <c r="U84" t="inlineStr">
        <is>
          <t>Reclamar saldo parcial</t>
        </is>
      </c>
      <c r="V84" t="inlineStr">
        <is>
          <t>Sin respuesta del cliente</t>
        </is>
      </c>
      <c r="Y84" t="inlineStr">
        <is>
          <t>2025-T4</t>
        </is>
      </c>
      <c r="Z84">
        <f>IF(AND(M78&gt;0,C78&lt;Resumen!$B$3),"Sí","No")</f>
        <v/>
      </c>
      <c r="AA84">
        <f>IF(AND(L78&gt;0,M78&gt;0),"Sí","No")</f>
        <v/>
      </c>
      <c r="AB84">
        <f>IF(J78="USD","Sí","No")</f>
        <v/>
      </c>
    </row>
    <row r="85">
      <c r="A85" t="inlineStr">
        <is>
          <t>FAC-00078</t>
        </is>
      </c>
      <c r="B85" s="33" t="n">
        <v>45982</v>
      </c>
      <c r="C85" s="33" t="n">
        <v>46027</v>
      </c>
      <c r="D85" s="33" t="n">
        <v>46052</v>
      </c>
      <c r="E85" t="inlineStr">
        <is>
          <t>CL-024</t>
        </is>
      </c>
      <c r="F85" t="inlineStr">
        <is>
          <t>Zonda Gestión S.R.L.</t>
        </is>
      </c>
      <c r="G85" t="inlineStr">
        <is>
          <t>PyME servicios recurrentes</t>
        </is>
      </c>
      <c r="H85" t="inlineStr">
        <is>
          <t>SRV-004</t>
        </is>
      </c>
      <c r="I85" t="inlineStr">
        <is>
          <t>Reporte mensual / tablero de control</t>
        </is>
      </c>
      <c r="J85" t="inlineStr">
        <is>
          <t>USD</t>
        </is>
      </c>
      <c r="K85" t="n">
        <v>850</v>
      </c>
      <c r="L85" t="n">
        <v>850</v>
      </c>
      <c r="M85" t="n">
        <v>0</v>
      </c>
      <c r="N85" t="n">
        <v>1398</v>
      </c>
      <c r="O85" t="n">
        <v>0</v>
      </c>
      <c r="P85" t="n">
        <v>0</v>
      </c>
      <c r="Q85">
        <f>IF(M79&lt;=0,"Cobrada",IF(L79&gt;0,"Parcial",IF(C79&lt;Resumen!$B$3,"Vencida",IF(C79&lt;=Resumen!$B$3+15,"Por vencer","Pendiente"))))</f>
        <v/>
      </c>
      <c r="R85" t="n">
        <v>0</v>
      </c>
      <c r="S85">
        <f>IF(M79&lt;=0,"Sin prioridad",IF(R79&gt;60,"Alta",IF(R79&gt;30,"Media",IF(C79&lt;=Resumen!$B$3+15,"Media","Baja"))))</f>
        <v/>
      </c>
      <c r="T85" t="inlineStr">
        <is>
          <t>Sofía</t>
        </is>
      </c>
      <c r="U85" t="inlineStr">
        <is>
          <t>Sin acción</t>
        </is>
      </c>
      <c r="V85" t="inlineStr">
        <is>
          <t>Sin respuesta del cliente</t>
        </is>
      </c>
      <c r="Y85" t="inlineStr">
        <is>
          <t>2025-T4</t>
        </is>
      </c>
      <c r="Z85">
        <f>IF(AND(M79&gt;0,C79&lt;Resumen!$B$3),"Sí","No")</f>
        <v/>
      </c>
      <c r="AA85">
        <f>IF(AND(L79&gt;0,M79&gt;0),"Sí","No")</f>
        <v/>
      </c>
      <c r="AB85">
        <f>IF(J79="USD","Sí","No")</f>
        <v/>
      </c>
    </row>
    <row r="86">
      <c r="A86" t="inlineStr">
        <is>
          <t>FAC-00081</t>
        </is>
      </c>
      <c r="B86" s="33" t="n">
        <v>45982</v>
      </c>
      <c r="C86" s="33" t="n">
        <v>45997</v>
      </c>
      <c r="D86" s="33" t="n">
        <v>45994</v>
      </c>
      <c r="E86" t="inlineStr">
        <is>
          <t>CL-011</t>
        </is>
      </c>
      <c r="F86" t="inlineStr">
        <is>
          <t>Impulso Gestión S.A.S.</t>
        </is>
      </c>
      <c r="G86" t="inlineStr">
        <is>
          <t>PyME servicios recurrentes</t>
        </is>
      </c>
      <c r="H86" t="inlineStr">
        <is>
          <t>SRV-001</t>
        </is>
      </c>
      <c r="I86" t="inlineStr">
        <is>
          <t>Abono mensual administrativo</t>
        </is>
      </c>
      <c r="J86" t="inlineStr">
        <is>
          <t>ARS</t>
        </is>
      </c>
      <c r="K86" t="n">
        <v>356000</v>
      </c>
      <c r="L86" t="n">
        <v>356000</v>
      </c>
      <c r="M86" t="n">
        <v>0</v>
      </c>
      <c r="N86" t="n">
        <v>1398</v>
      </c>
      <c r="O86" t="n">
        <v>0</v>
      </c>
      <c r="P86" t="n">
        <v>0</v>
      </c>
      <c r="Q86">
        <f>IF(M82&lt;=0,"Cobrada",IF(L82&gt;0,"Parcial",IF(C82&lt;Resumen!$B$3,"Vencida",IF(C82&lt;=Resumen!$B$3+15,"Por vencer","Pendiente"))))</f>
        <v/>
      </c>
      <c r="R86" t="n">
        <v>0</v>
      </c>
      <c r="S86">
        <f>IF(M82&lt;=0,"Sin prioridad",IF(R82&gt;60,"Alta",IF(R82&gt;30,"Media",IF(C82&lt;=Resumen!$B$3+15,"Media","Baja"))))</f>
        <v/>
      </c>
      <c r="T86" t="inlineStr">
        <is>
          <t>Carlos</t>
        </is>
      </c>
      <c r="U86" t="inlineStr">
        <is>
          <t>Sin acción</t>
        </is>
      </c>
      <c r="V86" t="inlineStr">
        <is>
          <t>Pendiente de confirmación de pago</t>
        </is>
      </c>
      <c r="Y86" t="inlineStr">
        <is>
          <t>2025-T4</t>
        </is>
      </c>
      <c r="Z86">
        <f>IF(AND(M82&gt;0,C82&lt;Resumen!$B$3),"Sí","No")</f>
        <v/>
      </c>
      <c r="AA86">
        <f>IF(AND(L82&gt;0,M82&gt;0),"Sí","No")</f>
        <v/>
      </c>
      <c r="AB86">
        <f>IF(J82="USD","Sí","No")</f>
        <v/>
      </c>
    </row>
    <row r="87">
      <c r="A87" t="inlineStr">
        <is>
          <t>FAC-00089</t>
        </is>
      </c>
      <c r="B87" s="33" t="n">
        <v>45982</v>
      </c>
      <c r="C87" s="33" t="n">
        <v>46012</v>
      </c>
      <c r="D87" s="33" t="n">
        <v>46025</v>
      </c>
      <c r="E87" t="inlineStr">
        <is>
          <t>CL-019</t>
        </is>
      </c>
      <c r="F87" t="inlineStr">
        <is>
          <t>Sierra Norte S.A.S.</t>
        </is>
      </c>
      <c r="G87" t="inlineStr">
        <is>
          <t>PyME servicios recurrentes</t>
        </is>
      </c>
      <c r="H87" t="inlineStr">
        <is>
          <t>SRV-002</t>
        </is>
      </c>
      <c r="I87" t="inlineStr">
        <is>
          <t>Soporte operativo</t>
        </is>
      </c>
      <c r="J87" t="inlineStr">
        <is>
          <t>USD</t>
        </is>
      </c>
      <c r="K87" t="n">
        <v>600</v>
      </c>
      <c r="L87" t="n">
        <v>600</v>
      </c>
      <c r="M87" t="n">
        <v>0</v>
      </c>
      <c r="N87" t="n">
        <v>1398</v>
      </c>
      <c r="O87" t="n">
        <v>0</v>
      </c>
      <c r="P87" t="n">
        <v>0</v>
      </c>
      <c r="Q87">
        <f>IF(M90&lt;=0,"Cobrada",IF(L90&gt;0,"Parcial",IF(C90&lt;Resumen!$B$3,"Vencida",IF(C90&lt;=Resumen!$B$3+15,"Por vencer","Pendiente"))))</f>
        <v/>
      </c>
      <c r="R87" t="n">
        <v>0</v>
      </c>
      <c r="S87">
        <f>IF(M90&lt;=0,"Sin prioridad",IF(R90&gt;60,"Alta",IF(R90&gt;30,"Media",IF(C90&lt;=Resumen!$B$3+15,"Media","Baja"))))</f>
        <v/>
      </c>
      <c r="T87" t="inlineStr">
        <is>
          <t>Carlos</t>
        </is>
      </c>
      <c r="U87" t="inlineStr">
        <is>
          <t>Sin acción</t>
        </is>
      </c>
      <c r="V87" t="inlineStr">
        <is>
          <t>Sin respuesta del cliente</t>
        </is>
      </c>
      <c r="Y87" t="inlineStr">
        <is>
          <t>2025-T4</t>
        </is>
      </c>
      <c r="Z87">
        <f>IF(AND(M90&gt;0,C90&lt;Resumen!$B$3),"Sí","No")</f>
        <v/>
      </c>
      <c r="AA87">
        <f>IF(AND(L90&gt;0,M90&gt;0),"Sí","No")</f>
        <v/>
      </c>
      <c r="AB87">
        <f>IF(J90="USD","Sí","No")</f>
        <v/>
      </c>
    </row>
    <row r="88">
      <c r="A88" t="inlineStr">
        <is>
          <t>FAC-00080</t>
        </is>
      </c>
      <c r="B88" s="33" t="n">
        <v>45986</v>
      </c>
      <c r="C88" s="33" t="n">
        <v>46016</v>
      </c>
      <c r="D88" s="33" t="n">
        <v>46012</v>
      </c>
      <c r="E88" t="inlineStr">
        <is>
          <t>CL-009</t>
        </is>
      </c>
      <c r="F88" t="inlineStr">
        <is>
          <t>Grupo Nexo PyME S.A.</t>
        </is>
      </c>
      <c r="G88" t="inlineStr">
        <is>
          <t>PyME servicios recurrentes</t>
        </is>
      </c>
      <c r="H88" t="inlineStr">
        <is>
          <t>SRV-001</t>
        </is>
      </c>
      <c r="I88" t="inlineStr">
        <is>
          <t>Abono mensual administrativo</t>
        </is>
      </c>
      <c r="J88" t="inlineStr">
        <is>
          <t>ARS</t>
        </is>
      </c>
      <c r="K88" t="n">
        <v>371000</v>
      </c>
      <c r="L88" t="n">
        <v>371000</v>
      </c>
      <c r="M88" t="n">
        <v>0</v>
      </c>
      <c r="N88" t="n">
        <v>1398</v>
      </c>
      <c r="O88" t="n">
        <v>0</v>
      </c>
      <c r="P88" t="n">
        <v>0</v>
      </c>
      <c r="Q88">
        <f>IF(M81&lt;=0,"Cobrada",IF(L81&gt;0,"Parcial",IF(C81&lt;Resumen!$B$3,"Vencida",IF(C81&lt;=Resumen!$B$3+15,"Por vencer","Pendiente"))))</f>
        <v/>
      </c>
      <c r="R88" t="n">
        <v>0</v>
      </c>
      <c r="S88">
        <f>IF(M81&lt;=0,"Sin prioridad",IF(R81&gt;60,"Alta",IF(R81&gt;30,"Media",IF(C81&lt;=Resumen!$B$3+15,"Media","Baja"))))</f>
        <v/>
      </c>
      <c r="T88" t="inlineStr">
        <is>
          <t>Ana</t>
        </is>
      </c>
      <c r="U88" t="inlineStr">
        <is>
          <t>Sin acción</t>
        </is>
      </c>
      <c r="V88" t="inlineStr">
        <is>
          <t>Sin respuesta del cliente</t>
        </is>
      </c>
      <c r="Y88" t="inlineStr">
        <is>
          <t>2025-T4</t>
        </is>
      </c>
      <c r="Z88">
        <f>IF(AND(M81&gt;0,C81&lt;Resumen!$B$3),"Sí","No")</f>
        <v/>
      </c>
      <c r="AA88">
        <f>IF(AND(L81&gt;0,M81&gt;0),"Sí","No")</f>
        <v/>
      </c>
      <c r="AB88">
        <f>IF(J81="USD","Sí","No")</f>
        <v/>
      </c>
    </row>
    <row r="89">
      <c r="A89" t="inlineStr">
        <is>
          <t>FAC-00090</t>
        </is>
      </c>
      <c r="B89" s="33" t="n">
        <v>45986</v>
      </c>
      <c r="C89" s="33" t="n">
        <v>46001</v>
      </c>
      <c r="E89" t="inlineStr">
        <is>
          <t>CL-017</t>
        </is>
      </c>
      <c r="F89" t="inlineStr">
        <is>
          <t>Punto Sur S.A.</t>
        </is>
      </c>
      <c r="G89" t="inlineStr">
        <is>
          <t>PyME servicios recurrentes</t>
        </is>
      </c>
      <c r="H89" t="inlineStr">
        <is>
          <t>SRV-002</t>
        </is>
      </c>
      <c r="I89" t="inlineStr">
        <is>
          <t>Soporte operativo</t>
        </is>
      </c>
      <c r="J89" t="inlineStr">
        <is>
          <t>ARS</t>
        </is>
      </c>
      <c r="K89" t="n">
        <v>587000</v>
      </c>
      <c r="L89" t="n">
        <v>0</v>
      </c>
      <c r="M89" t="n">
        <v>0</v>
      </c>
      <c r="N89" t="n">
        <v>1398</v>
      </c>
      <c r="O89" t="n">
        <v>0</v>
      </c>
      <c r="P89" t="n">
        <v>0</v>
      </c>
      <c r="Q89">
        <f>IF(M91&lt;=0,"Cobrada",IF(L91&gt;0,"Parcial",IF(C91&lt;Resumen!$B$3,"Vencida",IF(C91&lt;=Resumen!$B$3+15,"Por vencer","Pendiente"))))</f>
        <v/>
      </c>
      <c r="R89" t="n">
        <v>0</v>
      </c>
      <c r="S89">
        <f>IF(M91&lt;=0,"Sin prioridad",IF(R91&gt;60,"Alta",IF(R91&gt;30,"Media",IF(C91&lt;=Resumen!$B$3+15,"Media","Baja"))))</f>
        <v/>
      </c>
      <c r="T89" t="inlineStr">
        <is>
          <t>Sofía</t>
        </is>
      </c>
      <c r="U89" t="inlineStr">
        <is>
          <t>Enviar recordatorio</t>
        </is>
      </c>
      <c r="V89" t="inlineStr">
        <is>
          <t>Sin respuesta del cliente</t>
        </is>
      </c>
      <c r="Y89" t="inlineStr">
        <is>
          <t>2025-T4</t>
        </is>
      </c>
      <c r="Z89">
        <f>IF(AND(M91&gt;0,C91&lt;Resumen!$B$3),"Sí","No")</f>
        <v/>
      </c>
      <c r="AA89">
        <f>IF(AND(L91&gt;0,M91&gt;0),"Sí","No")</f>
        <v/>
      </c>
      <c r="AB89">
        <f>IF(J91="USD","Sí","No")</f>
        <v/>
      </c>
    </row>
    <row r="90">
      <c r="A90" t="inlineStr">
        <is>
          <t>FAC-00074</t>
        </is>
      </c>
      <c r="B90" s="33" t="n">
        <v>45987</v>
      </c>
      <c r="C90" s="33" t="n">
        <v>46047</v>
      </c>
      <c r="D90" s="33" t="n">
        <v>46090</v>
      </c>
      <c r="E90" t="inlineStr">
        <is>
          <t>CL-006</t>
        </is>
      </c>
      <c r="F90" t="inlineStr">
        <is>
          <t>Delta Gestión PyME S.A.</t>
        </is>
      </c>
      <c r="G90" t="inlineStr">
        <is>
          <t>PyME servicios recurrentes</t>
        </is>
      </c>
      <c r="H90" t="inlineStr">
        <is>
          <t>SRV-004</t>
        </is>
      </c>
      <c r="I90" t="inlineStr">
        <is>
          <t>Reporte mensual / tablero de control</t>
        </is>
      </c>
      <c r="J90" t="inlineStr">
        <is>
          <t>USD</t>
        </is>
      </c>
      <c r="K90" t="n">
        <v>1700</v>
      </c>
      <c r="L90" t="n">
        <v>1700</v>
      </c>
      <c r="M90" t="n">
        <v>0</v>
      </c>
      <c r="N90" t="n">
        <v>1398</v>
      </c>
      <c r="O90" t="n">
        <v>0</v>
      </c>
      <c r="P90" t="n">
        <v>0</v>
      </c>
      <c r="Q90">
        <f>IF(M75&lt;=0,"Cobrada",IF(L75&gt;0,"Parcial",IF(C75&lt;Resumen!$B$3,"Vencida",IF(C75&lt;=Resumen!$B$3+15,"Por vencer","Pendiente"))))</f>
        <v/>
      </c>
      <c r="R90" t="n">
        <v>0</v>
      </c>
      <c r="S90">
        <f>IF(M75&lt;=0,"Sin prioridad",IF(R75&gt;60,"Alta",IF(R75&gt;30,"Media",IF(C75&lt;=Resumen!$B$3+15,"Media","Baja"))))</f>
        <v/>
      </c>
      <c r="T90" t="inlineStr">
        <is>
          <t>Ana</t>
        </is>
      </c>
      <c r="U90" t="inlineStr">
        <is>
          <t>Sin acción</t>
        </is>
      </c>
      <c r="V90" t="inlineStr">
        <is>
          <t>Sin respuesta del cliente</t>
        </is>
      </c>
      <c r="Y90" t="inlineStr">
        <is>
          <t>2025-T4</t>
        </is>
      </c>
      <c r="Z90">
        <f>IF(AND(M75&gt;0,C75&lt;Resumen!$B$3),"Sí","No")</f>
        <v/>
      </c>
      <c r="AA90">
        <f>IF(AND(L75&gt;0,M75&gt;0),"Sí","No")</f>
        <v/>
      </c>
      <c r="AB90">
        <f>IF(J75="USD","Sí","No")</f>
        <v/>
      </c>
    </row>
    <row r="91">
      <c r="A91" t="inlineStr">
        <is>
          <t>FAC-00086</t>
        </is>
      </c>
      <c r="B91" s="33" t="n">
        <v>45987</v>
      </c>
      <c r="C91" s="33" t="n">
        <v>46032</v>
      </c>
      <c r="D91" s="33" t="n">
        <v>46034</v>
      </c>
      <c r="E91" t="inlineStr">
        <is>
          <t>CL-018</t>
        </is>
      </c>
      <c r="F91" t="inlineStr">
        <is>
          <t>Río Claro Servicios S.R.L.</t>
        </is>
      </c>
      <c r="G91" t="inlineStr">
        <is>
          <t>PyME servicios recurrentes</t>
        </is>
      </c>
      <c r="H91" t="inlineStr">
        <is>
          <t>SRV-001</t>
        </is>
      </c>
      <c r="I91" t="inlineStr">
        <is>
          <t>Abono mensual administrativo</t>
        </is>
      </c>
      <c r="J91" t="inlineStr">
        <is>
          <t>ARS</t>
        </is>
      </c>
      <c r="K91" t="n">
        <v>368000</v>
      </c>
      <c r="L91" t="n">
        <v>368000</v>
      </c>
      <c r="M91" t="n">
        <v>0</v>
      </c>
      <c r="N91" t="n">
        <v>1398</v>
      </c>
      <c r="O91" t="n">
        <v>0</v>
      </c>
      <c r="P91" t="n">
        <v>0</v>
      </c>
      <c r="Q91">
        <f>IF(M87&lt;=0,"Cobrada",IF(L87&gt;0,"Parcial",IF(C87&lt;Resumen!$B$3,"Vencida",IF(C87&lt;=Resumen!$B$3+15,"Por vencer","Pendiente"))))</f>
        <v/>
      </c>
      <c r="R91" t="n">
        <v>0</v>
      </c>
      <c r="S91">
        <f>IF(M87&lt;=0,"Sin prioridad",IF(R87&gt;60,"Alta",IF(R87&gt;30,"Media",IF(C87&lt;=Resumen!$B$3+15,"Media","Baja"))))</f>
        <v/>
      </c>
      <c r="T91" t="inlineStr">
        <is>
          <t>Ana</t>
        </is>
      </c>
      <c r="U91" t="inlineStr">
        <is>
          <t>Sin acción</t>
        </is>
      </c>
      <c r="V91" t="inlineStr">
        <is>
          <t>Cliente solicita reenvío de factura</t>
        </is>
      </c>
      <c r="Y91" t="inlineStr">
        <is>
          <t>2025-T4</t>
        </is>
      </c>
      <c r="Z91">
        <f>IF(AND(M87&gt;0,C87&lt;Resumen!$B$3),"Sí","No")</f>
        <v/>
      </c>
      <c r="AA91">
        <f>IF(AND(L87&gt;0,M87&gt;0),"Sí","No")</f>
        <v/>
      </c>
      <c r="AB91">
        <f>IF(J87="USD","Sí","No")</f>
        <v/>
      </c>
    </row>
    <row r="92">
      <c r="A92" t="inlineStr">
        <is>
          <t>FAC-00070</t>
        </is>
      </c>
      <c r="B92" s="33" t="n">
        <v>45989</v>
      </c>
      <c r="C92" s="33" t="n">
        <v>46034</v>
      </c>
      <c r="E92" t="inlineStr">
        <is>
          <t>CL-022</t>
        </is>
      </c>
      <c r="F92" t="inlineStr">
        <is>
          <t>Valle Operativo S.R.L.</t>
        </is>
      </c>
      <c r="G92" t="inlineStr">
        <is>
          <t>PyME servicios recurrentes</t>
        </is>
      </c>
      <c r="H92" t="inlineStr">
        <is>
          <t>SRV-002</t>
        </is>
      </c>
      <c r="I92" t="inlineStr">
        <is>
          <t>Soporte operativo</t>
        </is>
      </c>
      <c r="J92" t="inlineStr">
        <is>
          <t>ARS</t>
        </is>
      </c>
      <c r="K92" t="n">
        <v>447000</v>
      </c>
      <c r="L92" t="n">
        <v>0</v>
      </c>
      <c r="M92" t="n">
        <v>0</v>
      </c>
      <c r="N92" t="n">
        <v>1398</v>
      </c>
      <c r="O92" t="n">
        <v>0</v>
      </c>
      <c r="P92" t="n">
        <v>0</v>
      </c>
      <c r="Q92">
        <f>IF(M71&lt;=0,"Cobrada",IF(L71&gt;0,"Parcial",IF(C71&lt;Resumen!$B$3,"Vencida",IF(C71&lt;=Resumen!$B$3+15,"Por vencer","Pendiente"))))</f>
        <v/>
      </c>
      <c r="R92" t="n">
        <v>0</v>
      </c>
      <c r="S92">
        <f>IF(M71&lt;=0,"Sin prioridad",IF(R71&gt;60,"Alta",IF(R71&gt;30,"Media",IF(C71&lt;=Resumen!$B$3+15,"Media","Baja"))))</f>
        <v/>
      </c>
      <c r="T92" t="inlineStr">
        <is>
          <t>Ana</t>
        </is>
      </c>
      <c r="U92" t="inlineStr">
        <is>
          <t>Llamar al cliente</t>
        </is>
      </c>
      <c r="V92" t="inlineStr">
        <is>
          <t>Pendiente de confirmación de pago</t>
        </is>
      </c>
      <c r="Y92" t="inlineStr">
        <is>
          <t>2025-T4</t>
        </is>
      </c>
      <c r="Z92">
        <f>IF(AND(M71&gt;0,C71&lt;Resumen!$B$3),"Sí","No")</f>
        <v/>
      </c>
      <c r="AA92">
        <f>IF(AND(L71&gt;0,M71&gt;0),"Sí","No")</f>
        <v/>
      </c>
      <c r="AB92">
        <f>IF(J71="USD","Sí","No")</f>
        <v/>
      </c>
    </row>
    <row r="93">
      <c r="A93" t="inlineStr">
        <is>
          <t>FAC-00099</t>
        </is>
      </c>
      <c r="B93" s="33" t="n">
        <v>46001</v>
      </c>
      <c r="C93" s="33" t="n">
        <v>46016</v>
      </c>
      <c r="D93" s="33" t="n">
        <v>46019</v>
      </c>
      <c r="E93" t="inlineStr">
        <is>
          <t>CL-011</t>
        </is>
      </c>
      <c r="F93" t="inlineStr">
        <is>
          <t>Impulso Gestión S.A.S.</t>
        </is>
      </c>
      <c r="G93" t="inlineStr">
        <is>
          <t>PyME servicios recurrentes</t>
        </is>
      </c>
      <c r="H93" t="inlineStr">
        <is>
          <t>SRV-003</t>
        </is>
      </c>
      <c r="I93" t="inlineStr">
        <is>
          <t>Consultoría de gestión</t>
        </is>
      </c>
      <c r="J93" t="inlineStr">
        <is>
          <t>USD</t>
        </is>
      </c>
      <c r="K93" t="n">
        <v>1900</v>
      </c>
      <c r="L93" t="n">
        <v>1543.53</v>
      </c>
      <c r="M93" t="n">
        <v>0</v>
      </c>
      <c r="N93" t="n">
        <v>1436</v>
      </c>
      <c r="O93" t="n">
        <v>0</v>
      </c>
      <c r="P93" t="n">
        <v>0</v>
      </c>
      <c r="Q93">
        <f>IF(M100&lt;=0,"Cobrada",IF(L100&gt;0,"Parcial",IF(C100&lt;Resumen!$B$3,"Vencida",IF(C100&lt;=Resumen!$B$3+15,"Por vencer","Pendiente"))))</f>
        <v/>
      </c>
      <c r="R93" t="n">
        <v>0</v>
      </c>
      <c r="S93">
        <f>IF(M100&lt;=0,"Sin prioridad",IF(R100&gt;60,"Alta",IF(R100&gt;30,"Media",IF(C100&lt;=Resumen!$B$3+15,"Media","Baja"))))</f>
        <v/>
      </c>
      <c r="T93" t="inlineStr">
        <is>
          <t>Carlos</t>
        </is>
      </c>
      <c r="U93" t="inlineStr">
        <is>
          <t>Reclamar saldo parcial</t>
        </is>
      </c>
      <c r="V93" t="inlineStr">
        <is>
          <t>Sin respuesta del cliente</t>
        </is>
      </c>
      <c r="Y93" t="inlineStr">
        <is>
          <t>2025-T4</t>
        </is>
      </c>
      <c r="Z93">
        <f>IF(AND(M100&gt;0,C100&lt;Resumen!$B$3),"Sí","No")</f>
        <v/>
      </c>
      <c r="AA93">
        <f>IF(AND(L100&gt;0,M100&gt;0),"Sí","No")</f>
        <v/>
      </c>
      <c r="AB93">
        <f>IF(J100="USD","Sí","No")</f>
        <v/>
      </c>
    </row>
    <row r="94">
      <c r="A94" t="inlineStr">
        <is>
          <t>FAC-00100</t>
        </is>
      </c>
      <c r="B94" s="33" t="n">
        <v>46002</v>
      </c>
      <c r="C94" s="33" t="n">
        <v>46062</v>
      </c>
      <c r="D94" s="33" t="n">
        <v>46078</v>
      </c>
      <c r="E94" t="inlineStr">
        <is>
          <t>CL-006</t>
        </is>
      </c>
      <c r="F94" t="inlineStr">
        <is>
          <t>Delta Gestión PyME S.A.</t>
        </is>
      </c>
      <c r="G94" t="inlineStr">
        <is>
          <t>PyME servicios recurrentes</t>
        </is>
      </c>
      <c r="H94" t="inlineStr">
        <is>
          <t>SRV-003</t>
        </is>
      </c>
      <c r="I94" t="inlineStr">
        <is>
          <t>Consultoría de gestión</t>
        </is>
      </c>
      <c r="J94" t="inlineStr">
        <is>
          <t>USD</t>
        </is>
      </c>
      <c r="K94" t="n">
        <v>1150</v>
      </c>
      <c r="L94" t="n">
        <v>1150</v>
      </c>
      <c r="M94" t="n">
        <v>0</v>
      </c>
      <c r="N94" t="n">
        <v>1436</v>
      </c>
      <c r="O94" t="n">
        <v>0</v>
      </c>
      <c r="P94" t="n">
        <v>0</v>
      </c>
      <c r="Q94">
        <f>IF(M101&lt;=0,"Cobrada",IF(L101&gt;0,"Parcial",IF(C101&lt;Resumen!$B$3,"Vencida",IF(C101&lt;=Resumen!$B$3+15,"Por vencer","Pendiente"))))</f>
        <v/>
      </c>
      <c r="R94" t="n">
        <v>0</v>
      </c>
      <c r="S94">
        <f>IF(M101&lt;=0,"Sin prioridad",IF(R101&gt;60,"Alta",IF(R101&gt;30,"Media",IF(C101&lt;=Resumen!$B$3+15,"Media","Baja"))))</f>
        <v/>
      </c>
      <c r="T94" t="inlineStr">
        <is>
          <t>Ana</t>
        </is>
      </c>
      <c r="U94" t="inlineStr">
        <is>
          <t>Sin acción</t>
        </is>
      </c>
      <c r="V94" t="inlineStr">
        <is>
          <t>Sin respuesta del cliente</t>
        </is>
      </c>
      <c r="Y94" t="inlineStr">
        <is>
          <t>2025-T4</t>
        </is>
      </c>
      <c r="Z94">
        <f>IF(AND(M101&gt;0,C101&lt;Resumen!$B$3),"Sí","No")</f>
        <v/>
      </c>
      <c r="AA94">
        <f>IF(AND(L101&gt;0,M101&gt;0),"Sí","No")</f>
        <v/>
      </c>
      <c r="AB94">
        <f>IF(J101="USD","Sí","No")</f>
        <v/>
      </c>
    </row>
    <row r="95">
      <c r="A95" t="inlineStr">
        <is>
          <t>FAC-00095</t>
        </is>
      </c>
      <c r="B95" s="33" t="n">
        <v>46003</v>
      </c>
      <c r="C95" s="33" t="n">
        <v>46018</v>
      </c>
      <c r="D95" s="33" t="n">
        <v>46029</v>
      </c>
      <c r="E95" t="inlineStr">
        <is>
          <t>CL-023</t>
        </is>
      </c>
      <c r="F95" t="inlineStr">
        <is>
          <t>Vector Administración S.A.S.</t>
        </is>
      </c>
      <c r="G95" t="inlineStr">
        <is>
          <t>PyME servicios recurrentes</t>
        </is>
      </c>
      <c r="H95" t="inlineStr">
        <is>
          <t>SRV-003</t>
        </is>
      </c>
      <c r="I95" t="inlineStr">
        <is>
          <t>Consultoría de gestión</t>
        </is>
      </c>
      <c r="J95" t="inlineStr">
        <is>
          <t>USD</t>
        </is>
      </c>
      <c r="K95" t="n">
        <v>800</v>
      </c>
      <c r="L95" t="n">
        <v>800</v>
      </c>
      <c r="M95" t="n">
        <v>0</v>
      </c>
      <c r="N95" t="n">
        <v>1436</v>
      </c>
      <c r="O95" t="n">
        <v>0</v>
      </c>
      <c r="P95" t="n">
        <v>0</v>
      </c>
      <c r="Q95">
        <f>IF(M96&lt;=0,"Cobrada",IF(L96&gt;0,"Parcial",IF(C96&lt;Resumen!$B$3,"Vencida",IF(C96&lt;=Resumen!$B$3+15,"Por vencer","Pendiente"))))</f>
        <v/>
      </c>
      <c r="R95" t="n">
        <v>0</v>
      </c>
      <c r="S95">
        <f>IF(M96&lt;=0,"Sin prioridad",IF(R96&gt;60,"Alta",IF(R96&gt;30,"Media",IF(C96&lt;=Resumen!$B$3+15,"Media","Baja"))))</f>
        <v/>
      </c>
      <c r="T95" t="inlineStr">
        <is>
          <t>Ana</t>
        </is>
      </c>
      <c r="U95" t="inlineStr">
        <is>
          <t>Sin acción</t>
        </is>
      </c>
      <c r="V95" t="inlineStr">
        <is>
          <t>En seguimiento administrativo</t>
        </is>
      </c>
      <c r="Y95" t="inlineStr">
        <is>
          <t>2025-T4</t>
        </is>
      </c>
      <c r="Z95">
        <f>IF(AND(M96&gt;0,C96&lt;Resumen!$B$3),"Sí","No")</f>
        <v/>
      </c>
      <c r="AA95">
        <f>IF(AND(L96&gt;0,M96&gt;0),"Sí","No")</f>
        <v/>
      </c>
      <c r="AB95">
        <f>IF(J96="USD","Sí","No")</f>
        <v/>
      </c>
    </row>
    <row r="96">
      <c r="A96" t="inlineStr">
        <is>
          <t>FAC-00108</t>
        </is>
      </c>
      <c r="B96" s="33" t="n">
        <v>46003</v>
      </c>
      <c r="C96" s="33" t="n">
        <v>46048</v>
      </c>
      <c r="E96" t="inlineStr">
        <is>
          <t>CL-016</t>
        </is>
      </c>
      <c r="F96" t="inlineStr">
        <is>
          <t>Patagonia Gestión S.R.L.</t>
        </is>
      </c>
      <c r="G96" t="inlineStr">
        <is>
          <t>PyME servicios recurrentes</t>
        </is>
      </c>
      <c r="H96" t="inlineStr">
        <is>
          <t>SRV-001</t>
        </is>
      </c>
      <c r="I96" t="inlineStr">
        <is>
          <t>Abono mensual administrativo</t>
        </is>
      </c>
      <c r="J96" t="inlineStr">
        <is>
          <t>ARS</t>
        </is>
      </c>
      <c r="K96" t="n">
        <v>595000</v>
      </c>
      <c r="L96" t="n">
        <v>0</v>
      </c>
      <c r="M96" t="n">
        <v>0</v>
      </c>
      <c r="N96" t="n">
        <v>1436</v>
      </c>
      <c r="O96" t="n">
        <v>0</v>
      </c>
      <c r="P96" t="n">
        <v>0</v>
      </c>
      <c r="Q96">
        <f>IF(M109&lt;=0,"Cobrada",IF(L109&gt;0,"Parcial",IF(C109&lt;Resumen!$B$3,"Vencida",IF(C109&lt;=Resumen!$B$3+15,"Por vencer","Pendiente"))))</f>
        <v/>
      </c>
      <c r="R96" t="n">
        <v>0</v>
      </c>
      <c r="S96">
        <f>IF(M109&lt;=0,"Sin prioridad",IF(R109&gt;60,"Alta",IF(R109&gt;30,"Media",IF(C109&lt;=Resumen!$B$3+15,"Media","Baja"))))</f>
        <v/>
      </c>
      <c r="T96" t="inlineStr">
        <is>
          <t>Matías</t>
        </is>
      </c>
      <c r="U96" t="inlineStr">
        <is>
          <t>Enviar recordatorio</t>
        </is>
      </c>
      <c r="V96" t="inlineStr">
        <is>
          <t>En seguimiento administrativo</t>
        </is>
      </c>
      <c r="Y96" t="inlineStr">
        <is>
          <t>2025-T4</t>
        </is>
      </c>
      <c r="Z96">
        <f>IF(AND(M109&gt;0,C109&lt;Resumen!$B$3),"Sí","No")</f>
        <v/>
      </c>
      <c r="AA96">
        <f>IF(AND(L109&gt;0,M109&gt;0),"Sí","No")</f>
        <v/>
      </c>
      <c r="AB96">
        <f>IF(J109="USD","Sí","No")</f>
        <v/>
      </c>
    </row>
    <row r="97">
      <c r="A97" t="inlineStr">
        <is>
          <t>FAC-00098</t>
        </is>
      </c>
      <c r="B97" s="33" t="n">
        <v>46004</v>
      </c>
      <c r="C97" s="33" t="n">
        <v>46034</v>
      </c>
      <c r="E97" t="inlineStr">
        <is>
          <t>CL-009</t>
        </is>
      </c>
      <c r="F97" t="inlineStr">
        <is>
          <t>Grupo Nexo PyME S.A.</t>
        </is>
      </c>
      <c r="G97" t="inlineStr">
        <is>
          <t>PyME servicios recurrentes</t>
        </is>
      </c>
      <c r="H97" t="inlineStr">
        <is>
          <t>SRV-001</t>
        </is>
      </c>
      <c r="I97" t="inlineStr">
        <is>
          <t>Abono mensual administrativo</t>
        </is>
      </c>
      <c r="J97" t="inlineStr">
        <is>
          <t>ARS</t>
        </is>
      </c>
      <c r="K97" t="n">
        <v>578000</v>
      </c>
      <c r="L97" t="n">
        <v>0</v>
      </c>
      <c r="M97" t="n">
        <v>0</v>
      </c>
      <c r="N97" t="n">
        <v>1436</v>
      </c>
      <c r="O97" t="n">
        <v>0</v>
      </c>
      <c r="P97" t="n">
        <v>0</v>
      </c>
      <c r="Q97">
        <f>IF(M99&lt;=0,"Cobrada",IF(L99&gt;0,"Parcial",IF(C99&lt;Resumen!$B$3,"Vencida",IF(C99&lt;=Resumen!$B$3+15,"Por vencer","Pendiente"))))</f>
        <v/>
      </c>
      <c r="R97" t="n">
        <v>0</v>
      </c>
      <c r="S97">
        <f>IF(M99&lt;=0,"Sin prioridad",IF(R99&gt;60,"Alta",IF(R99&gt;30,"Media",IF(C99&lt;=Resumen!$B$3+15,"Media","Baja"))))</f>
        <v/>
      </c>
      <c r="T97" t="inlineStr">
        <is>
          <t>Ana</t>
        </is>
      </c>
      <c r="U97" t="inlineStr">
        <is>
          <t>Llamar al cliente</t>
        </is>
      </c>
      <c r="V97" t="inlineStr">
        <is>
          <t>Cliente solicita reenvío de factura</t>
        </is>
      </c>
      <c r="Y97" t="inlineStr">
        <is>
          <t>2025-T4</t>
        </is>
      </c>
      <c r="Z97">
        <f>IF(AND(M99&gt;0,C99&lt;Resumen!$B$3),"Sí","No")</f>
        <v/>
      </c>
      <c r="AA97">
        <f>IF(AND(L99&gt;0,M99&gt;0),"Sí","No")</f>
        <v/>
      </c>
      <c r="AB97">
        <f>IF(J99="USD","Sí","No")</f>
        <v/>
      </c>
    </row>
    <row r="98">
      <c r="A98" t="inlineStr">
        <is>
          <t>FAC-00104</t>
        </is>
      </c>
      <c r="B98" s="33" t="n">
        <v>46004</v>
      </c>
      <c r="C98" s="33" t="n">
        <v>46019</v>
      </c>
      <c r="D98" s="33" t="n">
        <v>46019</v>
      </c>
      <c r="E98" t="inlineStr">
        <is>
          <t>CL-004</t>
        </is>
      </c>
      <c r="F98" t="inlineStr">
        <is>
          <t>Base Sur Servicios S.A.S.</t>
        </is>
      </c>
      <c r="G98" t="inlineStr">
        <is>
          <t>PyME servicios recurrentes</t>
        </is>
      </c>
      <c r="H98" t="inlineStr">
        <is>
          <t>SRV-005</t>
        </is>
      </c>
      <c r="I98" t="inlineStr">
        <is>
          <t>Servicio extraordinario puntual</t>
        </is>
      </c>
      <c r="J98" t="inlineStr">
        <is>
          <t>ARS</t>
        </is>
      </c>
      <c r="K98" t="n">
        <v>390000</v>
      </c>
      <c r="L98" t="n">
        <v>390000</v>
      </c>
      <c r="M98" t="n">
        <v>0</v>
      </c>
      <c r="N98" t="n">
        <v>1436</v>
      </c>
      <c r="O98" t="n">
        <v>0</v>
      </c>
      <c r="P98" t="n">
        <v>0</v>
      </c>
      <c r="Q98">
        <f>IF(M105&lt;=0,"Cobrada",IF(L105&gt;0,"Parcial",IF(C105&lt;Resumen!$B$3,"Vencida",IF(C105&lt;=Resumen!$B$3+15,"Por vencer","Pendiente"))))</f>
        <v/>
      </c>
      <c r="R98" t="n">
        <v>0</v>
      </c>
      <c r="S98">
        <f>IF(M105&lt;=0,"Sin prioridad",IF(R105&gt;60,"Alta",IF(R105&gt;30,"Media",IF(C105&lt;=Resumen!$B$3+15,"Media","Baja"))))</f>
        <v/>
      </c>
      <c r="T98" t="inlineStr">
        <is>
          <t>Ana</t>
        </is>
      </c>
      <c r="U98" t="inlineStr">
        <is>
          <t>Sin acción</t>
        </is>
      </c>
      <c r="V98" t="inlineStr">
        <is>
          <t>Sin respuesta del cliente</t>
        </is>
      </c>
      <c r="Y98" t="inlineStr">
        <is>
          <t>2025-T4</t>
        </is>
      </c>
      <c r="Z98">
        <f>IF(AND(M105&gt;0,C105&lt;Resumen!$B$3),"Sí","No")</f>
        <v/>
      </c>
      <c r="AA98">
        <f>IF(AND(L105&gt;0,M105&gt;0),"Sí","No")</f>
        <v/>
      </c>
      <c r="AB98">
        <f>IF(J105="USD","Sí","No")</f>
        <v/>
      </c>
    </row>
    <row r="99">
      <c r="A99" t="inlineStr">
        <is>
          <t>FAC-00103</t>
        </is>
      </c>
      <c r="B99" s="33" t="n">
        <v>46006</v>
      </c>
      <c r="C99" s="33" t="n">
        <v>46051</v>
      </c>
      <c r="D99" s="33" t="n">
        <v>46083</v>
      </c>
      <c r="E99" t="inlineStr">
        <is>
          <t>CL-024</t>
        </is>
      </c>
      <c r="F99" t="inlineStr">
        <is>
          <t>Zonda Gestión S.R.L.</t>
        </is>
      </c>
      <c r="G99" t="inlineStr">
        <is>
          <t>PyME servicios recurrentes</t>
        </is>
      </c>
      <c r="H99" t="inlineStr">
        <is>
          <t>SRV-004</t>
        </is>
      </c>
      <c r="I99" t="inlineStr">
        <is>
          <t>Reporte mensual / tablero de control</t>
        </is>
      </c>
      <c r="J99" t="inlineStr">
        <is>
          <t>USD</t>
        </is>
      </c>
      <c r="K99" t="n">
        <v>550</v>
      </c>
      <c r="L99" t="n">
        <v>550</v>
      </c>
      <c r="M99" t="n">
        <v>0</v>
      </c>
      <c r="N99" t="n">
        <v>1436</v>
      </c>
      <c r="O99" t="n">
        <v>0</v>
      </c>
      <c r="P99" t="n">
        <v>0</v>
      </c>
      <c r="Q99">
        <f>IF(M104&lt;=0,"Cobrada",IF(L104&gt;0,"Parcial",IF(C104&lt;Resumen!$B$3,"Vencida",IF(C104&lt;=Resumen!$B$3+15,"Por vencer","Pendiente"))))</f>
        <v/>
      </c>
      <c r="R99" t="n">
        <v>0</v>
      </c>
      <c r="S99">
        <f>IF(M104&lt;=0,"Sin prioridad",IF(R104&gt;60,"Alta",IF(R104&gt;30,"Media",IF(C104&lt;=Resumen!$B$3+15,"Media","Baja"))))</f>
        <v/>
      </c>
      <c r="T99" t="inlineStr">
        <is>
          <t>Sofía</t>
        </is>
      </c>
      <c r="U99" t="inlineStr">
        <is>
          <t>Sin acción</t>
        </is>
      </c>
      <c r="Y99" t="inlineStr">
        <is>
          <t>2025-T4</t>
        </is>
      </c>
      <c r="Z99">
        <f>IF(AND(M104&gt;0,C104&lt;Resumen!$B$3),"Sí","No")</f>
        <v/>
      </c>
      <c r="AA99">
        <f>IF(AND(L104&gt;0,M104&gt;0),"Sí","No")</f>
        <v/>
      </c>
      <c r="AB99">
        <f>IF(J104="USD","Sí","No")</f>
        <v/>
      </c>
    </row>
    <row r="100">
      <c r="A100" t="inlineStr">
        <is>
          <t>FAC-00093</t>
        </is>
      </c>
      <c r="B100" s="33" t="n">
        <v>46009</v>
      </c>
      <c r="C100" s="33" t="n">
        <v>46024</v>
      </c>
      <c r="D100" s="33" t="n">
        <v>46022</v>
      </c>
      <c r="E100" t="inlineStr">
        <is>
          <t>CL-011</t>
        </is>
      </c>
      <c r="F100" t="inlineStr">
        <is>
          <t>Impulso Gestión S.A.S.</t>
        </is>
      </c>
      <c r="G100" t="inlineStr">
        <is>
          <t>PyME servicios recurrentes</t>
        </is>
      </c>
      <c r="H100" t="inlineStr">
        <is>
          <t>SRV-002</t>
        </is>
      </c>
      <c r="I100" t="inlineStr">
        <is>
          <t>Soporte operativo</t>
        </is>
      </c>
      <c r="J100" t="inlineStr">
        <is>
          <t>ARS</t>
        </is>
      </c>
      <c r="K100" t="n">
        <v>285000</v>
      </c>
      <c r="L100" t="n">
        <v>285000</v>
      </c>
      <c r="M100" t="n">
        <v>0</v>
      </c>
      <c r="N100" t="n">
        <v>1436</v>
      </c>
      <c r="O100" t="n">
        <v>0</v>
      </c>
      <c r="P100" t="n">
        <v>0</v>
      </c>
      <c r="Q100">
        <f>IF(M94&lt;=0,"Cobrada",IF(L94&gt;0,"Parcial",IF(C94&lt;Resumen!$B$3,"Vencida",IF(C94&lt;=Resumen!$B$3+15,"Por vencer","Pendiente"))))</f>
        <v/>
      </c>
      <c r="R100" t="n">
        <v>0</v>
      </c>
      <c r="S100">
        <f>IF(M94&lt;=0,"Sin prioridad",IF(R94&gt;60,"Alta",IF(R94&gt;30,"Media",IF(C94&lt;=Resumen!$B$3+15,"Media","Baja"))))</f>
        <v/>
      </c>
      <c r="T100" t="inlineStr">
        <is>
          <t>Carlos</t>
        </is>
      </c>
      <c r="U100" t="inlineStr">
        <is>
          <t>Sin acción</t>
        </is>
      </c>
      <c r="V100" t="inlineStr">
        <is>
          <t>Pendiente de confirmación de pago</t>
        </is>
      </c>
      <c r="Y100" t="inlineStr">
        <is>
          <t>2025-T4</t>
        </is>
      </c>
      <c r="Z100">
        <f>IF(AND(M94&gt;0,C94&lt;Resumen!$B$3),"Sí","No")</f>
        <v/>
      </c>
      <c r="AA100">
        <f>IF(AND(L94&gt;0,M94&gt;0),"Sí","No")</f>
        <v/>
      </c>
      <c r="AB100">
        <f>IF(J94="USD","Sí","No")</f>
        <v/>
      </c>
    </row>
    <row r="101">
      <c r="A101" t="inlineStr">
        <is>
          <t>FAC-00094</t>
        </is>
      </c>
      <c r="B101" s="33" t="n">
        <v>46010</v>
      </c>
      <c r="C101" s="33" t="n">
        <v>46040</v>
      </c>
      <c r="D101" s="33" t="n">
        <v>46078</v>
      </c>
      <c r="E101" t="inlineStr">
        <is>
          <t>CL-008</t>
        </is>
      </c>
      <c r="F101" t="inlineStr">
        <is>
          <t>Faro Administrativo S.A.S.</t>
        </is>
      </c>
      <c r="G101" t="inlineStr">
        <is>
          <t>PyME servicios recurrentes</t>
        </is>
      </c>
      <c r="H101" t="inlineStr">
        <is>
          <t>SRV-005</t>
        </is>
      </c>
      <c r="I101" t="inlineStr">
        <is>
          <t>Servicio extraordinario puntual</t>
        </is>
      </c>
      <c r="J101" t="inlineStr">
        <is>
          <t>ARS</t>
        </is>
      </c>
      <c r="K101" t="n">
        <v>677000</v>
      </c>
      <c r="L101" t="n">
        <v>677000</v>
      </c>
      <c r="M101" t="n">
        <v>0</v>
      </c>
      <c r="N101" t="n">
        <v>1436</v>
      </c>
      <c r="O101" t="n">
        <v>0</v>
      </c>
      <c r="P101" t="n">
        <v>0</v>
      </c>
      <c r="Q101">
        <f>IF(M95&lt;=0,"Cobrada",IF(L95&gt;0,"Parcial",IF(C95&lt;Resumen!$B$3,"Vencida",IF(C95&lt;=Resumen!$B$3+15,"Por vencer","Pendiente"))))</f>
        <v/>
      </c>
      <c r="R101" t="n">
        <v>0</v>
      </c>
      <c r="S101">
        <f>IF(M95&lt;=0,"Sin prioridad",IF(R95&gt;60,"Alta",IF(R95&gt;30,"Media",IF(C95&lt;=Resumen!$B$3+15,"Media","Baja"))))</f>
        <v/>
      </c>
      <c r="T101" t="inlineStr">
        <is>
          <t>Sofía</t>
        </is>
      </c>
      <c r="U101" t="inlineStr">
        <is>
          <t>Sin acción</t>
        </is>
      </c>
      <c r="V101" t="inlineStr">
        <is>
          <t>En seguimiento administrativo</t>
        </is>
      </c>
      <c r="Y101" t="inlineStr">
        <is>
          <t>2025-T4</t>
        </is>
      </c>
      <c r="Z101">
        <f>IF(AND(M95&gt;0,C95&lt;Resumen!$B$3),"Sí","No")</f>
        <v/>
      </c>
      <c r="AA101">
        <f>IF(AND(L95&gt;0,M95&gt;0),"Sí","No")</f>
        <v/>
      </c>
      <c r="AB101">
        <f>IF(J95="USD","Sí","No")</f>
        <v/>
      </c>
    </row>
    <row r="102">
      <c r="A102" t="inlineStr">
        <is>
          <t>FAC-00097</t>
        </is>
      </c>
      <c r="B102" s="33" t="n">
        <v>46010</v>
      </c>
      <c r="C102" s="33" t="n">
        <v>46025</v>
      </c>
      <c r="D102" s="33" t="n">
        <v>46027</v>
      </c>
      <c r="E102" t="inlineStr">
        <is>
          <t>CL-004</t>
        </is>
      </c>
      <c r="F102" t="inlineStr">
        <is>
          <t>Base Sur Servicios S.A.S.</t>
        </is>
      </c>
      <c r="G102" t="inlineStr">
        <is>
          <t>PyME servicios recurrentes</t>
        </is>
      </c>
      <c r="H102" t="inlineStr">
        <is>
          <t>SRV-001</t>
        </is>
      </c>
      <c r="I102" t="inlineStr">
        <is>
          <t>Abono mensual administrativo</t>
        </is>
      </c>
      <c r="J102" t="inlineStr">
        <is>
          <t>ARS</t>
        </is>
      </c>
      <c r="K102" t="n">
        <v>892000</v>
      </c>
      <c r="L102" t="n">
        <v>892000</v>
      </c>
      <c r="M102" t="n">
        <v>0</v>
      </c>
      <c r="N102" t="n">
        <v>1436</v>
      </c>
      <c r="O102" t="n">
        <v>0</v>
      </c>
      <c r="P102" t="n">
        <v>0</v>
      </c>
      <c r="Q102">
        <f>IF(M98&lt;=0,"Cobrada",IF(L98&gt;0,"Parcial",IF(C98&lt;Resumen!$B$3,"Vencida",IF(C98&lt;=Resumen!$B$3+15,"Por vencer","Pendiente"))))</f>
        <v/>
      </c>
      <c r="R102" t="n">
        <v>0</v>
      </c>
      <c r="S102">
        <f>IF(M98&lt;=0,"Sin prioridad",IF(R98&gt;60,"Alta",IF(R98&gt;30,"Media",IF(C98&lt;=Resumen!$B$3+15,"Media","Baja"))))</f>
        <v/>
      </c>
      <c r="T102" t="inlineStr">
        <is>
          <t>Ana</t>
        </is>
      </c>
      <c r="U102" t="inlineStr">
        <is>
          <t>Sin acción</t>
        </is>
      </c>
      <c r="Y102" t="inlineStr">
        <is>
          <t>2025-T4</t>
        </is>
      </c>
      <c r="Z102">
        <f>IF(AND(M98&gt;0,C98&lt;Resumen!$B$3),"Sí","No")</f>
        <v/>
      </c>
      <c r="AA102">
        <f>IF(AND(L98&gt;0,M98&gt;0),"Sí","No")</f>
        <v/>
      </c>
      <c r="AB102">
        <f>IF(J98="USD","Sí","No")</f>
        <v/>
      </c>
    </row>
    <row r="103">
      <c r="A103" t="inlineStr">
        <is>
          <t>FAC-00105</t>
        </is>
      </c>
      <c r="B103" s="33" t="n">
        <v>46010</v>
      </c>
      <c r="C103" s="33" t="n">
        <v>46025</v>
      </c>
      <c r="D103" s="33" t="n">
        <v>46060</v>
      </c>
      <c r="E103" t="inlineStr">
        <is>
          <t>CL-017</t>
        </is>
      </c>
      <c r="F103" t="inlineStr">
        <is>
          <t>Punto Sur S.A.</t>
        </is>
      </c>
      <c r="G103" t="inlineStr">
        <is>
          <t>PyME servicios recurrentes</t>
        </is>
      </c>
      <c r="H103" t="inlineStr">
        <is>
          <t>SRV-002</t>
        </is>
      </c>
      <c r="I103" t="inlineStr">
        <is>
          <t>Soporte operativo</t>
        </is>
      </c>
      <c r="J103" t="inlineStr">
        <is>
          <t>ARS</t>
        </is>
      </c>
      <c r="K103" t="n">
        <v>647000</v>
      </c>
      <c r="L103" t="n">
        <v>647000</v>
      </c>
      <c r="M103" t="n">
        <v>0</v>
      </c>
      <c r="N103" t="n">
        <v>1436</v>
      </c>
      <c r="O103" t="n">
        <v>0</v>
      </c>
      <c r="P103" t="n">
        <v>0</v>
      </c>
      <c r="Q103">
        <f>IF(M106&lt;=0,"Cobrada",IF(L106&gt;0,"Parcial",IF(C106&lt;Resumen!$B$3,"Vencida",IF(C106&lt;=Resumen!$B$3+15,"Por vencer","Pendiente"))))</f>
        <v/>
      </c>
      <c r="R103" t="n">
        <v>0</v>
      </c>
      <c r="S103">
        <f>IF(M106&lt;=0,"Sin prioridad",IF(R106&gt;60,"Alta",IF(R106&gt;30,"Media",IF(C106&lt;=Resumen!$B$3+15,"Media","Baja"))))</f>
        <v/>
      </c>
      <c r="T103" t="inlineStr">
        <is>
          <t>Sofía</t>
        </is>
      </c>
      <c r="U103" t="inlineStr">
        <is>
          <t>Sin acción</t>
        </is>
      </c>
      <c r="V103" t="inlineStr">
        <is>
          <t>Pago prometido para próxima semana</t>
        </is>
      </c>
      <c r="Y103" t="inlineStr">
        <is>
          <t>2025-T4</t>
        </is>
      </c>
      <c r="Z103">
        <f>IF(AND(M106&gt;0,C106&lt;Resumen!$B$3),"Sí","No")</f>
        <v/>
      </c>
      <c r="AA103">
        <f>IF(AND(L106&gt;0,M106&gt;0),"Sí","No")</f>
        <v/>
      </c>
      <c r="AB103">
        <f>IF(J106="USD","Sí","No")</f>
        <v/>
      </c>
    </row>
    <row r="104">
      <c r="A104" t="inlineStr">
        <is>
          <t>FAC-00110</t>
        </is>
      </c>
      <c r="B104" s="33" t="n">
        <v>46011</v>
      </c>
      <c r="C104" s="33" t="n">
        <v>46071</v>
      </c>
      <c r="D104" s="33" t="n">
        <v>46096</v>
      </c>
      <c r="E104" t="inlineStr">
        <is>
          <t>CL-006</t>
        </is>
      </c>
      <c r="F104" t="inlineStr">
        <is>
          <t>Delta Gestión PyME S.A.</t>
        </is>
      </c>
      <c r="G104" t="inlineStr">
        <is>
          <t>PyME servicios recurrentes</t>
        </is>
      </c>
      <c r="H104" t="inlineStr">
        <is>
          <t>SRV-002</t>
        </is>
      </c>
      <c r="I104" t="inlineStr">
        <is>
          <t>Soporte operativo</t>
        </is>
      </c>
      <c r="J104" t="inlineStr">
        <is>
          <t>ARS</t>
        </is>
      </c>
      <c r="K104" t="n">
        <v>652000</v>
      </c>
      <c r="L104" t="n">
        <v>652000</v>
      </c>
      <c r="M104" t="n">
        <v>0</v>
      </c>
      <c r="N104" t="n">
        <v>1436</v>
      </c>
      <c r="O104" t="n">
        <v>0</v>
      </c>
      <c r="P104" t="n">
        <v>0</v>
      </c>
      <c r="Q104">
        <f>IF(M111&lt;=0,"Cobrada",IF(L111&gt;0,"Parcial",IF(C111&lt;Resumen!$B$3,"Vencida",IF(C111&lt;=Resumen!$B$3+15,"Por vencer","Pendiente"))))</f>
        <v/>
      </c>
      <c r="R104" t="n">
        <v>0</v>
      </c>
      <c r="S104">
        <f>IF(M111&lt;=0,"Sin prioridad",IF(R111&gt;60,"Alta",IF(R111&gt;30,"Media",IF(C111&lt;=Resumen!$B$3+15,"Media","Baja"))))</f>
        <v/>
      </c>
      <c r="T104" t="inlineStr">
        <is>
          <t>Ana</t>
        </is>
      </c>
      <c r="U104" t="inlineStr">
        <is>
          <t>Sin acción</t>
        </is>
      </c>
      <c r="V104" t="inlineStr">
        <is>
          <t>Sin respuesta del cliente</t>
        </is>
      </c>
      <c r="Y104" t="inlineStr">
        <is>
          <t>2025-T4</t>
        </is>
      </c>
      <c r="Z104">
        <f>IF(AND(M111&gt;0,C111&lt;Resumen!$B$3),"Sí","No")</f>
        <v/>
      </c>
      <c r="AA104">
        <f>IF(AND(L111&gt;0,M111&gt;0),"Sí","No")</f>
        <v/>
      </c>
      <c r="AB104">
        <f>IF(J111="USD","Sí","No")</f>
        <v/>
      </c>
    </row>
    <row r="105">
      <c r="A105" t="inlineStr">
        <is>
          <t>FAC-00106</t>
        </is>
      </c>
      <c r="B105" s="33" t="n">
        <v>46012</v>
      </c>
      <c r="C105" s="33" t="n">
        <v>46057</v>
      </c>
      <c r="E105" t="inlineStr">
        <is>
          <t>CL-016</t>
        </is>
      </c>
      <c r="F105" t="inlineStr">
        <is>
          <t>Patagonia Gestión S.R.L.</t>
        </is>
      </c>
      <c r="G105" t="inlineStr">
        <is>
          <t>PyME servicios recurrentes</t>
        </is>
      </c>
      <c r="H105" t="inlineStr">
        <is>
          <t>SRV-001</t>
        </is>
      </c>
      <c r="I105" t="inlineStr">
        <is>
          <t>Abono mensual administrativo</t>
        </is>
      </c>
      <c r="J105" t="inlineStr">
        <is>
          <t>ARS</t>
        </is>
      </c>
      <c r="K105" t="n">
        <v>830000</v>
      </c>
      <c r="L105" t="n">
        <v>0</v>
      </c>
      <c r="M105" t="n">
        <v>0</v>
      </c>
      <c r="N105" t="n">
        <v>1436</v>
      </c>
      <c r="O105" t="n">
        <v>0</v>
      </c>
      <c r="P105" t="n">
        <v>0</v>
      </c>
      <c r="Q105">
        <f>IF(M107&lt;=0,"Cobrada",IF(L107&gt;0,"Parcial",IF(C107&lt;Resumen!$B$3,"Vencida",IF(C107&lt;=Resumen!$B$3+15,"Por vencer","Pendiente"))))</f>
        <v/>
      </c>
      <c r="R105" t="n">
        <v>0</v>
      </c>
      <c r="S105">
        <f>IF(M107&lt;=0,"Sin prioridad",IF(R107&gt;60,"Alta",IF(R107&gt;30,"Media",IF(C107&lt;=Resumen!$B$3+15,"Media","Baja"))))</f>
        <v/>
      </c>
      <c r="T105" t="inlineStr">
        <is>
          <t>Matías</t>
        </is>
      </c>
      <c r="U105" t="inlineStr">
        <is>
          <t>Enviar recordatorio</t>
        </is>
      </c>
      <c r="V105" t="inlineStr">
        <is>
          <t>Cliente solicita reenvío de factura</t>
        </is>
      </c>
      <c r="Y105" t="inlineStr">
        <is>
          <t>2025-T4</t>
        </is>
      </c>
      <c r="Z105">
        <f>IF(AND(M107&gt;0,C107&lt;Resumen!$B$3),"Sí","No")</f>
        <v/>
      </c>
      <c r="AA105">
        <f>IF(AND(L107&gt;0,M107&gt;0),"Sí","No")</f>
        <v/>
      </c>
      <c r="AB105">
        <f>IF(J107="USD","Sí","No")</f>
        <v/>
      </c>
    </row>
    <row r="106">
      <c r="A106" t="inlineStr">
        <is>
          <t>FAC-00101</t>
        </is>
      </c>
      <c r="B106" s="33" t="n">
        <v>46013</v>
      </c>
      <c r="C106" s="33" t="n">
        <v>46073</v>
      </c>
      <c r="D106" s="33" t="n">
        <v>46088</v>
      </c>
      <c r="E106" t="inlineStr">
        <is>
          <t>CL-006</t>
        </is>
      </c>
      <c r="F106" t="inlineStr">
        <is>
          <t>Delta Gestión PyME S.A.</t>
        </is>
      </c>
      <c r="G106" t="inlineStr">
        <is>
          <t>PyME servicios recurrentes</t>
        </is>
      </c>
      <c r="H106" t="inlineStr">
        <is>
          <t>SRV-002</t>
        </is>
      </c>
      <c r="I106" t="inlineStr">
        <is>
          <t>Soporte operativo</t>
        </is>
      </c>
      <c r="J106" t="inlineStr">
        <is>
          <t>USD</t>
        </is>
      </c>
      <c r="K106" t="n">
        <v>350</v>
      </c>
      <c r="L106" t="n">
        <v>350</v>
      </c>
      <c r="M106" t="n">
        <v>0</v>
      </c>
      <c r="N106" t="n">
        <v>1436</v>
      </c>
      <c r="O106" t="n">
        <v>0</v>
      </c>
      <c r="P106" t="n">
        <v>0</v>
      </c>
      <c r="Q106">
        <f>IF(M102&lt;=0,"Cobrada",IF(L102&gt;0,"Parcial",IF(C102&lt;Resumen!$B$3,"Vencida",IF(C102&lt;=Resumen!$B$3+15,"Por vencer","Pendiente"))))</f>
        <v/>
      </c>
      <c r="R106" t="n">
        <v>0</v>
      </c>
      <c r="S106">
        <f>IF(M102&lt;=0,"Sin prioridad",IF(R102&gt;60,"Alta",IF(R102&gt;30,"Media",IF(C102&lt;=Resumen!$B$3+15,"Media","Baja"))))</f>
        <v/>
      </c>
      <c r="T106" t="inlineStr">
        <is>
          <t>Ana</t>
        </is>
      </c>
      <c r="U106" t="inlineStr">
        <is>
          <t>Sin acción</t>
        </is>
      </c>
      <c r="V106" t="inlineStr">
        <is>
          <t>Cliente solicita reenvío de factura</t>
        </is>
      </c>
      <c r="Y106" t="inlineStr">
        <is>
          <t>2025-T4</t>
        </is>
      </c>
      <c r="Z106">
        <f>IF(AND(M102&gt;0,C102&lt;Resumen!$B$3),"Sí","No")</f>
        <v/>
      </c>
      <c r="AA106">
        <f>IF(AND(L102&gt;0,M102&gt;0),"Sí","No")</f>
        <v/>
      </c>
      <c r="AB106">
        <f>IF(J102="USD","Sí","No")</f>
        <v/>
      </c>
    </row>
    <row r="107">
      <c r="A107" t="inlineStr">
        <is>
          <t>FAC-00102</t>
        </is>
      </c>
      <c r="B107" s="33" t="n">
        <v>46013</v>
      </c>
      <c r="C107" s="33" t="n">
        <v>46043</v>
      </c>
      <c r="D107" s="33" t="n">
        <v>46059</v>
      </c>
      <c r="E107" t="inlineStr">
        <is>
          <t>CL-019</t>
        </is>
      </c>
      <c r="F107" t="inlineStr">
        <is>
          <t>Sierra Norte S.A.S.</t>
        </is>
      </c>
      <c r="G107" t="inlineStr">
        <is>
          <t>PyME servicios recurrentes</t>
        </is>
      </c>
      <c r="H107" t="inlineStr">
        <is>
          <t>SRV-002</t>
        </is>
      </c>
      <c r="I107" t="inlineStr">
        <is>
          <t>Soporte operativo</t>
        </is>
      </c>
      <c r="J107" t="inlineStr">
        <is>
          <t>ARS</t>
        </is>
      </c>
      <c r="K107" t="n">
        <v>750000</v>
      </c>
      <c r="L107" t="n">
        <v>295957.03</v>
      </c>
      <c r="M107" t="n">
        <v>0</v>
      </c>
      <c r="N107" t="n">
        <v>1436</v>
      </c>
      <c r="O107" t="n">
        <v>0</v>
      </c>
      <c r="P107" t="n">
        <v>0</v>
      </c>
      <c r="Q107">
        <f>IF(M103&lt;=0,"Cobrada",IF(L103&gt;0,"Parcial",IF(C103&lt;Resumen!$B$3,"Vencida",IF(C103&lt;=Resumen!$B$3+15,"Por vencer","Pendiente"))))</f>
        <v/>
      </c>
      <c r="R107" t="n">
        <v>0</v>
      </c>
      <c r="S107">
        <f>IF(M103&lt;=0,"Sin prioridad",IF(R103&gt;60,"Alta",IF(R103&gt;30,"Media",IF(C103&lt;=Resumen!$B$3+15,"Media","Baja"))))</f>
        <v/>
      </c>
      <c r="T107" t="inlineStr">
        <is>
          <t>Carlos</t>
        </is>
      </c>
      <c r="U107" t="inlineStr">
        <is>
          <t>Reclamar saldo parcial</t>
        </is>
      </c>
      <c r="V107" t="inlineStr">
        <is>
          <t>Cliente solicita reenvío de factura</t>
        </is>
      </c>
      <c r="Y107" t="inlineStr">
        <is>
          <t>2025-T4</t>
        </is>
      </c>
      <c r="Z107">
        <f>IF(AND(M103&gt;0,C103&lt;Resumen!$B$3),"Sí","No")</f>
        <v/>
      </c>
      <c r="AA107">
        <f>IF(AND(L103&gt;0,M103&gt;0),"Sí","No")</f>
        <v/>
      </c>
      <c r="AB107">
        <f>IF(J103="USD","Sí","No")</f>
        <v/>
      </c>
    </row>
    <row r="108">
      <c r="A108" t="inlineStr">
        <is>
          <t>FAC-00111</t>
        </is>
      </c>
      <c r="B108" s="33" t="n">
        <v>46014</v>
      </c>
      <c r="C108" s="33" t="n">
        <v>46029</v>
      </c>
      <c r="D108" s="33" t="n">
        <v>46025</v>
      </c>
      <c r="E108" t="inlineStr">
        <is>
          <t>CL-011</t>
        </is>
      </c>
      <c r="F108" t="inlineStr">
        <is>
          <t>Impulso Gestión S.A.S.</t>
        </is>
      </c>
      <c r="G108" t="inlineStr">
        <is>
          <t>PyME servicios recurrentes</t>
        </is>
      </c>
      <c r="H108" t="inlineStr">
        <is>
          <t>SRV-001</t>
        </is>
      </c>
      <c r="I108" t="inlineStr">
        <is>
          <t>Abono mensual administrativo</t>
        </is>
      </c>
      <c r="J108" t="inlineStr">
        <is>
          <t>ARS</t>
        </is>
      </c>
      <c r="K108" t="n">
        <v>674000</v>
      </c>
      <c r="L108" t="n">
        <v>233519.56</v>
      </c>
      <c r="M108" t="n">
        <v>0</v>
      </c>
      <c r="N108" t="n">
        <v>1436</v>
      </c>
      <c r="O108" t="n">
        <v>0</v>
      </c>
      <c r="P108" t="n">
        <v>0</v>
      </c>
      <c r="Q108">
        <f>IF(M112&lt;=0,"Cobrada",IF(L112&gt;0,"Parcial",IF(C112&lt;Resumen!$B$3,"Vencida",IF(C112&lt;=Resumen!$B$3+15,"Por vencer","Pendiente"))))</f>
        <v/>
      </c>
      <c r="R108" t="n">
        <v>0</v>
      </c>
      <c r="S108">
        <f>IF(M112&lt;=0,"Sin prioridad",IF(R112&gt;60,"Alta",IF(R112&gt;30,"Media",IF(C112&lt;=Resumen!$B$3+15,"Media","Baja"))))</f>
        <v/>
      </c>
      <c r="T108" t="inlineStr">
        <is>
          <t>Carlos</t>
        </is>
      </c>
      <c r="U108" t="inlineStr">
        <is>
          <t>Reclamar saldo parcial</t>
        </is>
      </c>
      <c r="V108" t="inlineStr">
        <is>
          <t>En seguimiento administrativo</t>
        </is>
      </c>
      <c r="Y108" t="inlineStr">
        <is>
          <t>2025-T4</t>
        </is>
      </c>
      <c r="Z108">
        <f>IF(AND(M112&gt;0,C112&lt;Resumen!$B$3),"Sí","No")</f>
        <v/>
      </c>
      <c r="AA108">
        <f>IF(AND(L112&gt;0,M112&gt;0),"Sí","No")</f>
        <v/>
      </c>
      <c r="AB108">
        <f>IF(J112="USD","Sí","No")</f>
        <v/>
      </c>
    </row>
    <row r="109">
      <c r="A109" t="inlineStr">
        <is>
          <t>FAC-00107</t>
        </is>
      </c>
      <c r="B109" s="33" t="n">
        <v>46015</v>
      </c>
      <c r="C109" s="33" t="n">
        <v>46030</v>
      </c>
      <c r="D109" s="33" t="n">
        <v>46039</v>
      </c>
      <c r="E109" t="inlineStr">
        <is>
          <t>CL-001</t>
        </is>
      </c>
      <c r="F109" t="inlineStr">
        <is>
          <t>Altos del Centro S.R.L.</t>
        </is>
      </c>
      <c r="G109" t="inlineStr">
        <is>
          <t>PyME servicios recurrentes</t>
        </is>
      </c>
      <c r="H109" t="inlineStr">
        <is>
          <t>SRV-005</t>
        </is>
      </c>
      <c r="I109" t="inlineStr">
        <is>
          <t>Servicio extraordinario puntual</t>
        </is>
      </c>
      <c r="J109" t="inlineStr">
        <is>
          <t>ARS</t>
        </is>
      </c>
      <c r="K109" t="n">
        <v>1112000</v>
      </c>
      <c r="L109" t="n">
        <v>1112000</v>
      </c>
      <c r="M109" t="n">
        <v>0</v>
      </c>
      <c r="N109" t="n">
        <v>1436</v>
      </c>
      <c r="O109" t="n">
        <v>0</v>
      </c>
      <c r="P109" t="n">
        <v>0</v>
      </c>
      <c r="Q109">
        <f>IF(M108&lt;=0,"Cobrada",IF(L108&gt;0,"Parcial",IF(C108&lt;Resumen!$B$3,"Vencida",IF(C108&lt;=Resumen!$B$3+15,"Por vencer","Pendiente"))))</f>
        <v/>
      </c>
      <c r="R109" t="n">
        <v>0</v>
      </c>
      <c r="S109">
        <f>IF(M108&lt;=0,"Sin prioridad",IF(R108&gt;60,"Alta",IF(R108&gt;30,"Media",IF(C108&lt;=Resumen!$B$3+15,"Media","Baja"))))</f>
        <v/>
      </c>
      <c r="T109" t="inlineStr">
        <is>
          <t>Carlos</t>
        </is>
      </c>
      <c r="U109" t="inlineStr">
        <is>
          <t>Sin acción</t>
        </is>
      </c>
      <c r="V109" t="inlineStr">
        <is>
          <t>Pago prometido para próxima semana</t>
        </is>
      </c>
      <c r="Y109" t="inlineStr">
        <is>
          <t>2025-T4</t>
        </is>
      </c>
      <c r="Z109">
        <f>IF(AND(M108&gt;0,C108&lt;Resumen!$B$3),"Sí","No")</f>
        <v/>
      </c>
      <c r="AA109">
        <f>IF(AND(L108&gt;0,M108&gt;0),"Sí","No")</f>
        <v/>
      </c>
      <c r="AB109">
        <f>IF(J108="USD","Sí","No")</f>
        <v/>
      </c>
    </row>
    <row r="110">
      <c r="A110" t="inlineStr">
        <is>
          <t>FAC-00092</t>
        </is>
      </c>
      <c r="B110" s="33" t="n">
        <v>46016</v>
      </c>
      <c r="C110" s="33" t="n">
        <v>46031</v>
      </c>
      <c r="D110" s="33" t="n">
        <v>46049</v>
      </c>
      <c r="E110" t="inlineStr">
        <is>
          <t>CL-001</t>
        </is>
      </c>
      <c r="F110" t="inlineStr">
        <is>
          <t>Altos del Centro S.R.L.</t>
        </is>
      </c>
      <c r="G110" t="inlineStr">
        <is>
          <t>PyME servicios recurrentes</t>
        </is>
      </c>
      <c r="H110" t="inlineStr">
        <is>
          <t>SRV-001</t>
        </is>
      </c>
      <c r="I110" t="inlineStr">
        <is>
          <t>Abono mensual administrativo</t>
        </is>
      </c>
      <c r="J110" t="inlineStr">
        <is>
          <t>ARS</t>
        </is>
      </c>
      <c r="K110" t="n">
        <v>433000</v>
      </c>
      <c r="L110" t="n">
        <v>316399.64</v>
      </c>
      <c r="M110" t="n">
        <v>0</v>
      </c>
      <c r="N110" t="n">
        <v>1436</v>
      </c>
      <c r="O110" t="n">
        <v>0</v>
      </c>
      <c r="P110" t="n">
        <v>0</v>
      </c>
      <c r="Q110">
        <f>IF(M93&lt;=0,"Cobrada",IF(L93&gt;0,"Parcial",IF(C93&lt;Resumen!$B$3,"Vencida",IF(C93&lt;=Resumen!$B$3+15,"Por vencer","Pendiente"))))</f>
        <v/>
      </c>
      <c r="R110" t="n">
        <v>0</v>
      </c>
      <c r="S110">
        <f>IF(M93&lt;=0,"Sin prioridad",IF(R93&gt;60,"Alta",IF(R93&gt;30,"Media",IF(C93&lt;=Resumen!$B$3+15,"Media","Baja"))))</f>
        <v/>
      </c>
      <c r="T110" t="inlineStr">
        <is>
          <t>Carlos</t>
        </is>
      </c>
      <c r="U110" t="inlineStr">
        <is>
          <t>Reclamar saldo parcial</t>
        </is>
      </c>
      <c r="V110" t="inlineStr">
        <is>
          <t>En seguimiento administrativo</t>
        </is>
      </c>
      <c r="Y110" t="inlineStr">
        <is>
          <t>2025-T4</t>
        </is>
      </c>
      <c r="Z110">
        <f>IF(AND(M93&gt;0,C93&lt;Resumen!$B$3),"Sí","No")</f>
        <v/>
      </c>
      <c r="AA110">
        <f>IF(AND(L93&gt;0,M93&gt;0),"Sí","No")</f>
        <v/>
      </c>
      <c r="AB110">
        <f>IF(J93="USD","Sí","No")</f>
        <v/>
      </c>
    </row>
    <row r="111">
      <c r="A111" t="inlineStr">
        <is>
          <t>FAC-00096</t>
        </is>
      </c>
      <c r="B111" s="33" t="n">
        <v>46016</v>
      </c>
      <c r="C111" s="33" t="n">
        <v>46046</v>
      </c>
      <c r="D111" s="33" t="n">
        <v>46043</v>
      </c>
      <c r="E111" t="inlineStr">
        <is>
          <t>CL-002</t>
        </is>
      </c>
      <c r="F111" t="inlineStr">
        <is>
          <t>Andes Gestión S.A.</t>
        </is>
      </c>
      <c r="G111" t="inlineStr">
        <is>
          <t>PyME servicios recurrentes</t>
        </is>
      </c>
      <c r="H111" t="inlineStr">
        <is>
          <t>SRV-003</t>
        </is>
      </c>
      <c r="I111" t="inlineStr">
        <is>
          <t>Consultoría de gestión</t>
        </is>
      </c>
      <c r="J111" t="inlineStr">
        <is>
          <t>USD</t>
        </is>
      </c>
      <c r="K111" t="n">
        <v>2350</v>
      </c>
      <c r="L111" t="n">
        <v>2350</v>
      </c>
      <c r="M111" t="n">
        <v>0</v>
      </c>
      <c r="N111" t="n">
        <v>1436</v>
      </c>
      <c r="O111" t="n">
        <v>0</v>
      </c>
      <c r="P111" t="n">
        <v>0</v>
      </c>
      <c r="Q111">
        <f>IF(M97&lt;=0,"Cobrada",IF(L97&gt;0,"Parcial",IF(C97&lt;Resumen!$B$3,"Vencida",IF(C97&lt;=Resumen!$B$3+15,"Por vencer","Pendiente"))))</f>
        <v/>
      </c>
      <c r="R111" t="n">
        <v>0</v>
      </c>
      <c r="S111">
        <f>IF(M97&lt;=0,"Sin prioridad",IF(R97&gt;60,"Alta",IF(R97&gt;30,"Media",IF(C97&lt;=Resumen!$B$3+15,"Media","Baja"))))</f>
        <v/>
      </c>
      <c r="T111" t="inlineStr">
        <is>
          <t>Matías</t>
        </is>
      </c>
      <c r="U111" t="inlineStr">
        <is>
          <t>Sin acción</t>
        </is>
      </c>
      <c r="V111" t="inlineStr">
        <is>
          <t>Sin respuesta del cliente</t>
        </is>
      </c>
      <c r="Y111" t="inlineStr">
        <is>
          <t>2025-T4</t>
        </is>
      </c>
      <c r="Z111">
        <f>IF(AND(M97&gt;0,C97&lt;Resumen!$B$3),"Sí","No")</f>
        <v/>
      </c>
      <c r="AA111">
        <f>IF(AND(L97&gt;0,M97&gt;0),"Sí","No")</f>
        <v/>
      </c>
      <c r="AB111">
        <f>IF(J97="USD","Sí","No")</f>
        <v/>
      </c>
    </row>
    <row r="112">
      <c r="A112" t="inlineStr">
        <is>
          <t>FAC-00109</t>
        </is>
      </c>
      <c r="B112" s="33" t="n">
        <v>46019</v>
      </c>
      <c r="C112" s="33" t="n">
        <v>46034</v>
      </c>
      <c r="D112" s="33" t="n">
        <v>46031</v>
      </c>
      <c r="E112" t="inlineStr">
        <is>
          <t>CL-004</t>
        </is>
      </c>
      <c r="F112" t="inlineStr">
        <is>
          <t>Base Sur Servicios S.A.S.</t>
        </is>
      </c>
      <c r="G112" t="inlineStr">
        <is>
          <t>PyME servicios recurrentes</t>
        </is>
      </c>
      <c r="H112" t="inlineStr">
        <is>
          <t>SRV-003</t>
        </is>
      </c>
      <c r="I112" t="inlineStr">
        <is>
          <t>Consultoría de gestión</t>
        </is>
      </c>
      <c r="J112" t="inlineStr">
        <is>
          <t>USD</t>
        </is>
      </c>
      <c r="K112" t="n">
        <v>2450</v>
      </c>
      <c r="L112" t="n">
        <v>2450</v>
      </c>
      <c r="M112" t="n">
        <v>0</v>
      </c>
      <c r="N112" t="n">
        <v>1436</v>
      </c>
      <c r="O112" t="n">
        <v>0</v>
      </c>
      <c r="P112" t="n">
        <v>0</v>
      </c>
      <c r="Q112">
        <f>IF(M110&lt;=0,"Cobrada",IF(L110&gt;0,"Parcial",IF(C110&lt;Resumen!$B$3,"Vencida",IF(C110&lt;=Resumen!$B$3+15,"Por vencer","Pendiente"))))</f>
        <v/>
      </c>
      <c r="R112" t="n">
        <v>0</v>
      </c>
      <c r="S112">
        <f>IF(M110&lt;=0,"Sin prioridad",IF(R110&gt;60,"Alta",IF(R110&gt;30,"Media",IF(C110&lt;=Resumen!$B$3+15,"Media","Baja"))))</f>
        <v/>
      </c>
      <c r="T112" t="inlineStr">
        <is>
          <t>Ana</t>
        </is>
      </c>
      <c r="U112" t="inlineStr">
        <is>
          <t>Sin acción</t>
        </is>
      </c>
      <c r="Y112" t="inlineStr">
        <is>
          <t>2025-T4</t>
        </is>
      </c>
      <c r="Z112">
        <f>IF(AND(M110&gt;0,C110&lt;Resumen!$B$3),"Sí","No")</f>
        <v/>
      </c>
      <c r="AA112">
        <f>IF(AND(L110&gt;0,M110&gt;0),"Sí","No")</f>
        <v/>
      </c>
      <c r="AB112">
        <f>IF(J110="USD","Sí","No")</f>
        <v/>
      </c>
    </row>
    <row r="113">
      <c r="A113" t="inlineStr">
        <is>
          <t>FAC-00124</t>
        </is>
      </c>
      <c r="B113" s="33" t="n">
        <v>46024</v>
      </c>
      <c r="C113" s="33" t="n">
        <v>46039</v>
      </c>
      <c r="D113" s="33" t="n">
        <v>46053</v>
      </c>
      <c r="E113" t="inlineStr">
        <is>
          <t>CL-003</t>
        </is>
      </c>
      <c r="F113" t="inlineStr">
        <is>
          <t>Arco Norte S.R.L.</t>
        </is>
      </c>
      <c r="G113" t="inlineStr">
        <is>
          <t>PyME servicios recurrentes</t>
        </is>
      </c>
      <c r="H113" t="inlineStr">
        <is>
          <t>SRV-001</t>
        </is>
      </c>
      <c r="I113" t="inlineStr">
        <is>
          <t>Abono mensual administrativo</t>
        </is>
      </c>
      <c r="J113" t="inlineStr">
        <is>
          <t>ARS</t>
        </is>
      </c>
      <c r="K113" t="n">
        <v>641000</v>
      </c>
      <c r="L113" t="n">
        <v>641000</v>
      </c>
      <c r="M113" t="n">
        <v>0</v>
      </c>
      <c r="N113" t="n">
        <v>1457</v>
      </c>
      <c r="O113" t="n">
        <v>0</v>
      </c>
      <c r="P113" t="n">
        <v>0</v>
      </c>
      <c r="Q113">
        <f>IF(M125&lt;=0,"Cobrada",IF(L125&gt;0,"Parcial",IF(C125&lt;Resumen!$B$3,"Vencida",IF(C125&lt;=Resumen!$B$3+15,"Por vencer","Pendiente"))))</f>
        <v/>
      </c>
      <c r="R113" t="n">
        <v>0</v>
      </c>
      <c r="S113">
        <f>IF(M125&lt;=0,"Sin prioridad",IF(R125&gt;60,"Alta",IF(R125&gt;30,"Media",IF(C125&lt;=Resumen!$B$3+15,"Media","Baja"))))</f>
        <v/>
      </c>
      <c r="T113" t="inlineStr">
        <is>
          <t>Sofía</t>
        </is>
      </c>
      <c r="U113" t="inlineStr">
        <is>
          <t>Sin acción</t>
        </is>
      </c>
      <c r="Y113" t="inlineStr">
        <is>
          <t>2026-T1</t>
        </is>
      </c>
      <c r="Z113">
        <f>IF(AND(M125&gt;0,C125&lt;Resumen!$B$3),"Sí","No")</f>
        <v/>
      </c>
      <c r="AA113">
        <f>IF(AND(L125&gt;0,M125&gt;0),"Sí","No")</f>
        <v/>
      </c>
      <c r="AB113">
        <f>IF(J125="USD","Sí","No")</f>
        <v/>
      </c>
    </row>
    <row r="114">
      <c r="A114" t="inlineStr">
        <is>
          <t>FAC-00113</t>
        </is>
      </c>
      <c r="B114" s="33" t="n">
        <v>46025</v>
      </c>
      <c r="C114" s="33" t="n">
        <v>46040</v>
      </c>
      <c r="D114" s="33" t="n">
        <v>46042</v>
      </c>
      <c r="E114" t="inlineStr">
        <is>
          <t>CL-004</t>
        </is>
      </c>
      <c r="F114" t="inlineStr">
        <is>
          <t>Base Sur Servicios S.A.S.</t>
        </is>
      </c>
      <c r="G114" t="inlineStr">
        <is>
          <t>PyME servicios recurrentes</t>
        </is>
      </c>
      <c r="H114" t="inlineStr">
        <is>
          <t>SRV-001</t>
        </is>
      </c>
      <c r="I114" t="inlineStr">
        <is>
          <t>Abono mensual administrativo</t>
        </is>
      </c>
      <c r="J114" t="inlineStr">
        <is>
          <t>ARS</t>
        </is>
      </c>
      <c r="K114" t="n">
        <v>443000</v>
      </c>
      <c r="L114" t="n">
        <v>266976.42</v>
      </c>
      <c r="M114" t="n">
        <v>0</v>
      </c>
      <c r="N114" t="n">
        <v>1457</v>
      </c>
      <c r="O114" t="n">
        <v>0</v>
      </c>
      <c r="P114" t="n">
        <v>0</v>
      </c>
      <c r="Q114">
        <f>IF(M114&lt;=0,"Cobrada",IF(L114&gt;0,"Parcial",IF(C114&lt;Resumen!$B$3,"Vencida",IF(C114&lt;=Resumen!$B$3+15,"Por vencer","Pendiente"))))</f>
        <v/>
      </c>
      <c r="R114" t="n">
        <v>0</v>
      </c>
      <c r="S114">
        <f>IF(M114&lt;=0,"Sin prioridad",IF(R114&gt;60,"Alta",IF(R114&gt;30,"Media",IF(C114&lt;=Resumen!$B$3+15,"Media","Baja"))))</f>
        <v/>
      </c>
      <c r="T114" t="inlineStr">
        <is>
          <t>Ana</t>
        </is>
      </c>
      <c r="U114" t="inlineStr">
        <is>
          <t>Reclamar saldo parcial</t>
        </is>
      </c>
      <c r="V114" t="inlineStr">
        <is>
          <t>En seguimiento administrativo</t>
        </is>
      </c>
      <c r="Y114" t="inlineStr">
        <is>
          <t>2026-T1</t>
        </is>
      </c>
      <c r="Z114">
        <f>IF(AND(M114&gt;0,C114&lt;Resumen!$B$3),"Sí","No")</f>
        <v/>
      </c>
      <c r="AA114">
        <f>IF(AND(L114&gt;0,M114&gt;0),"Sí","No")</f>
        <v/>
      </c>
      <c r="AB114">
        <f>IF(J114="USD","Sí","No")</f>
        <v/>
      </c>
    </row>
    <row r="115">
      <c r="A115" t="inlineStr">
        <is>
          <t>FAC-00126</t>
        </is>
      </c>
      <c r="B115" s="33" t="n">
        <v>46025</v>
      </c>
      <c r="C115" s="33" t="n">
        <v>46055</v>
      </c>
      <c r="E115" t="inlineStr">
        <is>
          <t>CL-021</t>
        </is>
      </c>
      <c r="F115" t="inlineStr">
        <is>
          <t>Unión PyME Servicios S.A.</t>
        </is>
      </c>
      <c r="G115" t="inlineStr">
        <is>
          <t>PyME servicios recurrentes</t>
        </is>
      </c>
      <c r="H115" t="inlineStr">
        <is>
          <t>SRV-005</t>
        </is>
      </c>
      <c r="I115" t="inlineStr">
        <is>
          <t>Servicio extraordinario puntual</t>
        </is>
      </c>
      <c r="J115" t="inlineStr">
        <is>
          <t>ARS</t>
        </is>
      </c>
      <c r="K115" t="n">
        <v>1141000</v>
      </c>
      <c r="L115" t="n">
        <v>0</v>
      </c>
      <c r="M115" t="n">
        <v>0</v>
      </c>
      <c r="N115" t="n">
        <v>1457</v>
      </c>
      <c r="O115" t="n">
        <v>0</v>
      </c>
      <c r="P115" t="n">
        <v>0</v>
      </c>
      <c r="Q115">
        <f>IF(M127&lt;=0,"Cobrada",IF(L127&gt;0,"Parcial",IF(C127&lt;Resumen!$B$3,"Vencida",IF(C127&lt;=Resumen!$B$3+15,"Por vencer","Pendiente"))))</f>
        <v/>
      </c>
      <c r="R115" t="n">
        <v>0</v>
      </c>
      <c r="S115">
        <f>IF(M127&lt;=0,"Sin prioridad",IF(R127&gt;60,"Alta",IF(R127&gt;30,"Media",IF(C127&lt;=Resumen!$B$3+15,"Media","Baja"))))</f>
        <v/>
      </c>
      <c r="T115" t="inlineStr">
        <is>
          <t>Ana</t>
        </is>
      </c>
      <c r="U115" t="inlineStr">
        <is>
          <t>Enviar recordatorio</t>
        </is>
      </c>
      <c r="V115" t="inlineStr">
        <is>
          <t>Cliente solicita reenvío de factura</t>
        </is>
      </c>
      <c r="Y115" t="inlineStr">
        <is>
          <t>2026-T1</t>
        </is>
      </c>
      <c r="Z115">
        <f>IF(AND(M127&gt;0,C127&lt;Resumen!$B$3),"Sí","No")</f>
        <v/>
      </c>
      <c r="AA115">
        <f>IF(AND(L127&gt;0,M127&gt;0),"Sí","No")</f>
        <v/>
      </c>
      <c r="AB115">
        <f>IF(J127="USD","Sí","No")</f>
        <v/>
      </c>
    </row>
    <row r="116">
      <c r="A116" t="inlineStr">
        <is>
          <t>FAC-00122</t>
        </is>
      </c>
      <c r="B116" s="33" t="n">
        <v>46027</v>
      </c>
      <c r="C116" s="33" t="n">
        <v>46072</v>
      </c>
      <c r="E116" t="inlineStr">
        <is>
          <t>CL-010</t>
        </is>
      </c>
      <c r="F116" t="inlineStr">
        <is>
          <t>Horizonte Servicios S.R.L.</t>
        </is>
      </c>
      <c r="G116" t="inlineStr">
        <is>
          <t>PyME servicios recurrentes</t>
        </is>
      </c>
      <c r="H116" t="inlineStr">
        <is>
          <t>SRV-002</t>
        </is>
      </c>
      <c r="I116" t="inlineStr">
        <is>
          <t>Soporte operativo</t>
        </is>
      </c>
      <c r="J116" t="inlineStr">
        <is>
          <t>ARS</t>
        </is>
      </c>
      <c r="K116" t="n">
        <v>523000</v>
      </c>
      <c r="L116" t="n">
        <v>0</v>
      </c>
      <c r="M116" t="n">
        <v>0</v>
      </c>
      <c r="N116" t="n">
        <v>1457</v>
      </c>
      <c r="O116" t="n">
        <v>0</v>
      </c>
      <c r="P116" t="n">
        <v>0</v>
      </c>
      <c r="Q116">
        <f>IF(M123&lt;=0,"Cobrada",IF(L123&gt;0,"Parcial",IF(C123&lt;Resumen!$B$3,"Vencida",IF(C123&lt;=Resumen!$B$3+15,"Por vencer","Pendiente"))))</f>
        <v/>
      </c>
      <c r="R116" t="n">
        <v>0</v>
      </c>
      <c r="S116">
        <f>IF(M123&lt;=0,"Sin prioridad",IF(R123&gt;60,"Alta",IF(R123&gt;30,"Media",IF(C123&lt;=Resumen!$B$3+15,"Media","Baja"))))</f>
        <v/>
      </c>
      <c r="T116" t="inlineStr">
        <is>
          <t>Matías</t>
        </is>
      </c>
      <c r="U116" t="inlineStr">
        <is>
          <t>Llamar al cliente</t>
        </is>
      </c>
      <c r="V116" t="inlineStr">
        <is>
          <t>En seguimiento administrativo</t>
        </is>
      </c>
      <c r="Y116" t="inlineStr">
        <is>
          <t>2026-T1</t>
        </is>
      </c>
      <c r="Z116">
        <f>IF(AND(M123&gt;0,C123&lt;Resumen!$B$3),"Sí","No")</f>
        <v/>
      </c>
      <c r="AA116">
        <f>IF(AND(L123&gt;0,M123&gt;0),"Sí","No")</f>
        <v/>
      </c>
      <c r="AB116">
        <f>IF(J123="USD","Sí","No")</f>
        <v/>
      </c>
    </row>
    <row r="117">
      <c r="A117" t="inlineStr">
        <is>
          <t>FAC-00118</t>
        </is>
      </c>
      <c r="B117" s="33" t="n">
        <v>46029</v>
      </c>
      <c r="C117" s="33" t="n">
        <v>46044</v>
      </c>
      <c r="D117" s="33" t="n">
        <v>46084</v>
      </c>
      <c r="E117" t="inlineStr">
        <is>
          <t>CL-017</t>
        </is>
      </c>
      <c r="F117" t="inlineStr">
        <is>
          <t>Punto Sur S.A.</t>
        </is>
      </c>
      <c r="G117" t="inlineStr">
        <is>
          <t>PyME servicios recurrentes</t>
        </is>
      </c>
      <c r="H117" t="inlineStr">
        <is>
          <t>SRV-005</t>
        </is>
      </c>
      <c r="I117" t="inlineStr">
        <is>
          <t>Servicio extraordinario puntual</t>
        </is>
      </c>
      <c r="J117" t="inlineStr">
        <is>
          <t>ARS</t>
        </is>
      </c>
      <c r="K117" t="n">
        <v>387000</v>
      </c>
      <c r="L117" t="n">
        <v>387000</v>
      </c>
      <c r="M117" t="n">
        <v>0</v>
      </c>
      <c r="N117" t="n">
        <v>1457</v>
      </c>
      <c r="O117" t="n">
        <v>0</v>
      </c>
      <c r="P117" t="n">
        <v>0</v>
      </c>
      <c r="Q117">
        <f>IF(M119&lt;=0,"Cobrada",IF(L119&gt;0,"Parcial",IF(C119&lt;Resumen!$B$3,"Vencida",IF(C119&lt;=Resumen!$B$3+15,"Por vencer","Pendiente"))))</f>
        <v/>
      </c>
      <c r="R117" t="n">
        <v>0</v>
      </c>
      <c r="S117">
        <f>IF(M119&lt;=0,"Sin prioridad",IF(R119&gt;60,"Alta",IF(R119&gt;30,"Media",IF(C119&lt;=Resumen!$B$3+15,"Media","Baja"))))</f>
        <v/>
      </c>
      <c r="T117" t="inlineStr">
        <is>
          <t>Sofía</t>
        </is>
      </c>
      <c r="U117" t="inlineStr">
        <is>
          <t>Sin acción</t>
        </is>
      </c>
      <c r="V117" t="inlineStr">
        <is>
          <t>Cliente solicita reenvío de factura</t>
        </is>
      </c>
      <c r="Y117" t="inlineStr">
        <is>
          <t>2026-T1</t>
        </is>
      </c>
      <c r="Z117">
        <f>IF(AND(M119&gt;0,C119&lt;Resumen!$B$3),"Sí","No")</f>
        <v/>
      </c>
      <c r="AA117">
        <f>IF(AND(L119&gt;0,M119&gt;0),"Sí","No")</f>
        <v/>
      </c>
      <c r="AB117">
        <f>IF(J119="USD","Sí","No")</f>
        <v/>
      </c>
    </row>
    <row r="118">
      <c r="A118" t="inlineStr">
        <is>
          <t>FAC-00112</t>
        </is>
      </c>
      <c r="B118" s="33" t="n">
        <v>46030</v>
      </c>
      <c r="C118" s="33" t="n">
        <v>46075</v>
      </c>
      <c r="D118" s="33" t="n">
        <v>46088</v>
      </c>
      <c r="E118" t="inlineStr">
        <is>
          <t>CL-007</t>
        </is>
      </c>
      <c r="F118" t="inlineStr">
        <is>
          <t>Eje Comercial S.R.L.</t>
        </is>
      </c>
      <c r="G118" t="inlineStr">
        <is>
          <t>PyME servicios recurrentes</t>
        </is>
      </c>
      <c r="H118" t="inlineStr">
        <is>
          <t>SRV-001</t>
        </is>
      </c>
      <c r="I118" t="inlineStr">
        <is>
          <t>Abono mensual administrativo</t>
        </is>
      </c>
      <c r="J118" t="inlineStr">
        <is>
          <t>ARS</t>
        </is>
      </c>
      <c r="K118" t="n">
        <v>492000</v>
      </c>
      <c r="L118" t="n">
        <v>492000</v>
      </c>
      <c r="M118" t="n">
        <v>0</v>
      </c>
      <c r="N118" t="n">
        <v>1457</v>
      </c>
      <c r="O118" t="n">
        <v>0</v>
      </c>
      <c r="P118" t="n">
        <v>0</v>
      </c>
      <c r="Q118">
        <f>IF(M113&lt;=0,"Cobrada",IF(L113&gt;0,"Parcial",IF(C113&lt;Resumen!$B$3,"Vencida",IF(C113&lt;=Resumen!$B$3+15,"Por vencer","Pendiente"))))</f>
        <v/>
      </c>
      <c r="R118" t="n">
        <v>0</v>
      </c>
      <c r="S118">
        <f>IF(M113&lt;=0,"Sin prioridad",IF(R113&gt;60,"Alta",IF(R113&gt;30,"Media",IF(C113&lt;=Resumen!$B$3+15,"Media","Baja"))))</f>
        <v/>
      </c>
      <c r="T118" t="inlineStr">
        <is>
          <t>Matías</t>
        </is>
      </c>
      <c r="U118" t="inlineStr">
        <is>
          <t>Sin acción</t>
        </is>
      </c>
      <c r="V118" t="inlineStr">
        <is>
          <t>Cliente solicita reenvío de factura</t>
        </is>
      </c>
      <c r="Y118" t="inlineStr">
        <is>
          <t>2026-T1</t>
        </is>
      </c>
      <c r="Z118">
        <f>IF(AND(M113&gt;0,C113&lt;Resumen!$B$3),"Sí","No")</f>
        <v/>
      </c>
      <c r="AA118">
        <f>IF(AND(L113&gt;0,M113&gt;0),"Sí","No")</f>
        <v/>
      </c>
      <c r="AB118">
        <f>IF(J113="USD","Sí","No")</f>
        <v/>
      </c>
    </row>
    <row r="119">
      <c r="A119" t="inlineStr">
        <is>
          <t>FAC-00128</t>
        </is>
      </c>
      <c r="B119" s="33" t="n">
        <v>46030</v>
      </c>
      <c r="C119" s="33" t="n">
        <v>46075</v>
      </c>
      <c r="D119" s="33" t="n">
        <v>46100</v>
      </c>
      <c r="E119" t="inlineStr">
        <is>
          <t>CL-012</t>
        </is>
      </c>
      <c r="F119" t="inlineStr">
        <is>
          <t>Litoral Soluciones S.R.L.</t>
        </is>
      </c>
      <c r="G119" t="inlineStr">
        <is>
          <t>PyME servicios recurrentes</t>
        </is>
      </c>
      <c r="H119" t="inlineStr">
        <is>
          <t>SRV-002</t>
        </is>
      </c>
      <c r="I119" t="inlineStr">
        <is>
          <t>Soporte operativo</t>
        </is>
      </c>
      <c r="J119" t="inlineStr">
        <is>
          <t>USD</t>
        </is>
      </c>
      <c r="K119" t="n">
        <v>800</v>
      </c>
      <c r="L119" t="n">
        <v>800</v>
      </c>
      <c r="M119" t="n">
        <v>0</v>
      </c>
      <c r="N119" t="n">
        <v>1457</v>
      </c>
      <c r="O119" t="n">
        <v>0</v>
      </c>
      <c r="P119" t="n">
        <v>0</v>
      </c>
      <c r="Q119">
        <f>IF(M129&lt;=0,"Cobrada",IF(L129&gt;0,"Parcial",IF(C129&lt;Resumen!$B$3,"Vencida",IF(C129&lt;=Resumen!$B$3+15,"Por vencer","Pendiente"))))</f>
        <v/>
      </c>
      <c r="R119" t="n">
        <v>0</v>
      </c>
      <c r="S119">
        <f>IF(M129&lt;=0,"Sin prioridad",IF(R129&gt;60,"Alta",IF(R129&gt;30,"Media",IF(C129&lt;=Resumen!$B$3+15,"Media","Baja"))))</f>
        <v/>
      </c>
      <c r="T119" t="inlineStr">
        <is>
          <t>Matías</t>
        </is>
      </c>
      <c r="U119" t="inlineStr">
        <is>
          <t>Sin acción</t>
        </is>
      </c>
      <c r="V119" t="inlineStr">
        <is>
          <t>Sin respuesta del cliente</t>
        </is>
      </c>
      <c r="Y119" t="inlineStr">
        <is>
          <t>2026-T1</t>
        </is>
      </c>
      <c r="Z119">
        <f>IF(AND(M129&gt;0,C129&lt;Resumen!$B$3),"Sí","No")</f>
        <v/>
      </c>
      <c r="AA119">
        <f>IF(AND(L129&gt;0,M129&gt;0),"Sí","No")</f>
        <v/>
      </c>
      <c r="AB119">
        <f>IF(J129="USD","Sí","No")</f>
        <v/>
      </c>
    </row>
    <row r="120">
      <c r="A120" t="inlineStr">
        <is>
          <t>FAC-00115</t>
        </is>
      </c>
      <c r="B120" s="33" t="n">
        <v>46033</v>
      </c>
      <c r="C120" s="33" t="n">
        <v>46048</v>
      </c>
      <c r="E120" t="inlineStr">
        <is>
          <t>CL-013</t>
        </is>
      </c>
      <c r="F120" t="inlineStr">
        <is>
          <t>Mercurio PyME S.A.</t>
        </is>
      </c>
      <c r="G120" t="inlineStr">
        <is>
          <t>PyME servicios recurrentes</t>
        </is>
      </c>
      <c r="H120" t="inlineStr">
        <is>
          <t>SRV-002</t>
        </is>
      </c>
      <c r="I120" t="inlineStr">
        <is>
          <t>Soporte operativo</t>
        </is>
      </c>
      <c r="J120" t="inlineStr">
        <is>
          <t>ARS</t>
        </is>
      </c>
      <c r="K120" t="n">
        <v>616000</v>
      </c>
      <c r="L120" t="n">
        <v>0</v>
      </c>
      <c r="M120" t="n">
        <v>0</v>
      </c>
      <c r="N120" t="n">
        <v>1457</v>
      </c>
      <c r="O120" t="n">
        <v>0</v>
      </c>
      <c r="P120" t="n">
        <v>0</v>
      </c>
      <c r="Q120">
        <f>IF(M116&lt;=0,"Cobrada",IF(L116&gt;0,"Parcial",IF(C116&lt;Resumen!$B$3,"Vencida",IF(C116&lt;=Resumen!$B$3+15,"Por vencer","Pendiente"))))</f>
        <v/>
      </c>
      <c r="R120" t="n">
        <v>0</v>
      </c>
      <c r="S120">
        <f>IF(M116&lt;=0,"Sin prioridad",IF(R116&gt;60,"Alta",IF(R116&gt;30,"Media",IF(C116&lt;=Resumen!$B$3+15,"Media","Baja"))))</f>
        <v/>
      </c>
      <c r="T120" t="inlineStr">
        <is>
          <t>Sofía</t>
        </is>
      </c>
      <c r="U120" t="inlineStr">
        <is>
          <t>Reenviar factura</t>
        </is>
      </c>
      <c r="V120" t="inlineStr">
        <is>
          <t>Pago prometido para próxima semana</t>
        </is>
      </c>
      <c r="Y120" t="inlineStr">
        <is>
          <t>2026-T1</t>
        </is>
      </c>
      <c r="Z120">
        <f>IF(AND(M116&gt;0,C116&lt;Resumen!$B$3),"Sí","No")</f>
        <v/>
      </c>
      <c r="AA120">
        <f>IF(AND(L116&gt;0,M116&gt;0),"Sí","No")</f>
        <v/>
      </c>
      <c r="AB120">
        <f>IF(J116="USD","Sí","No")</f>
        <v/>
      </c>
    </row>
    <row r="121">
      <c r="A121" t="inlineStr">
        <is>
          <t>FAC-00116</t>
        </is>
      </c>
      <c r="B121" s="33" t="n">
        <v>46033</v>
      </c>
      <c r="C121" s="33" t="n">
        <v>46078</v>
      </c>
      <c r="D121" s="33" t="n">
        <v>46080</v>
      </c>
      <c r="E121" t="inlineStr">
        <is>
          <t>CL-018</t>
        </is>
      </c>
      <c r="F121" t="inlineStr">
        <is>
          <t>Río Claro Servicios S.R.L.</t>
        </is>
      </c>
      <c r="G121" t="inlineStr">
        <is>
          <t>PyME servicios recurrentes</t>
        </is>
      </c>
      <c r="H121" t="inlineStr">
        <is>
          <t>SRV-001</t>
        </is>
      </c>
      <c r="I121" t="inlineStr">
        <is>
          <t>Abono mensual administrativo</t>
        </is>
      </c>
      <c r="J121" t="inlineStr">
        <is>
          <t>ARS</t>
        </is>
      </c>
      <c r="K121" t="n">
        <v>942000</v>
      </c>
      <c r="L121" t="n">
        <v>942000</v>
      </c>
      <c r="M121" t="n">
        <v>0</v>
      </c>
      <c r="N121" t="n">
        <v>1457</v>
      </c>
      <c r="O121" t="n">
        <v>0</v>
      </c>
      <c r="P121" t="n">
        <v>0</v>
      </c>
      <c r="Q121">
        <f>IF(M117&lt;=0,"Cobrada",IF(L117&gt;0,"Parcial",IF(C117&lt;Resumen!$B$3,"Vencida",IF(C117&lt;=Resumen!$B$3+15,"Por vencer","Pendiente"))))</f>
        <v/>
      </c>
      <c r="R121" t="n">
        <v>0</v>
      </c>
      <c r="S121">
        <f>IF(M117&lt;=0,"Sin prioridad",IF(R117&gt;60,"Alta",IF(R117&gt;30,"Media",IF(C117&lt;=Resumen!$B$3+15,"Media","Baja"))))</f>
        <v/>
      </c>
      <c r="T121" t="inlineStr">
        <is>
          <t>Ana</t>
        </is>
      </c>
      <c r="U121" t="inlineStr">
        <is>
          <t>Sin acción</t>
        </is>
      </c>
      <c r="V121" t="inlineStr">
        <is>
          <t>En seguimiento administrativo</t>
        </is>
      </c>
      <c r="Y121" t="inlineStr">
        <is>
          <t>2026-T1</t>
        </is>
      </c>
      <c r="Z121">
        <f>IF(AND(M117&gt;0,C117&lt;Resumen!$B$3),"Sí","No")</f>
        <v/>
      </c>
      <c r="AA121">
        <f>IF(AND(L117&gt;0,M117&gt;0),"Sí","No")</f>
        <v/>
      </c>
      <c r="AB121">
        <f>IF(J117="USD","Sí","No")</f>
        <v/>
      </c>
    </row>
    <row r="122">
      <c r="A122" t="inlineStr">
        <is>
          <t>FAC-00123</t>
        </is>
      </c>
      <c r="B122" s="33" t="n">
        <v>46034</v>
      </c>
      <c r="C122" s="33" t="n">
        <v>46079</v>
      </c>
      <c r="E122" t="inlineStr">
        <is>
          <t>CL-024</t>
        </is>
      </c>
      <c r="F122" t="inlineStr">
        <is>
          <t>Zonda Gestión S.R.L.</t>
        </is>
      </c>
      <c r="G122" t="inlineStr">
        <is>
          <t>PyME servicios recurrentes</t>
        </is>
      </c>
      <c r="H122" t="inlineStr">
        <is>
          <t>SRV-001</t>
        </is>
      </c>
      <c r="I122" t="inlineStr">
        <is>
          <t>Abono mensual administrativo</t>
        </is>
      </c>
      <c r="J122" t="inlineStr">
        <is>
          <t>ARS</t>
        </is>
      </c>
      <c r="K122" t="n">
        <v>732000</v>
      </c>
      <c r="L122" t="n">
        <v>0</v>
      </c>
      <c r="M122" t="n">
        <v>0</v>
      </c>
      <c r="N122" t="n">
        <v>1457</v>
      </c>
      <c r="O122" t="n">
        <v>0</v>
      </c>
      <c r="P122" t="n">
        <v>0</v>
      </c>
      <c r="Q122">
        <f>IF(M124&lt;=0,"Cobrada",IF(L124&gt;0,"Parcial",IF(C124&lt;Resumen!$B$3,"Vencida",IF(C124&lt;=Resumen!$B$3+15,"Por vencer","Pendiente"))))</f>
        <v/>
      </c>
      <c r="R122" t="n">
        <v>0</v>
      </c>
      <c r="S122">
        <f>IF(M124&lt;=0,"Sin prioridad",IF(R124&gt;60,"Alta",IF(R124&gt;30,"Media",IF(C124&lt;=Resumen!$B$3+15,"Media","Baja"))))</f>
        <v/>
      </c>
      <c r="T122" t="inlineStr">
        <is>
          <t>Sofía</t>
        </is>
      </c>
      <c r="U122" t="inlineStr">
        <is>
          <t>Llamar al cliente</t>
        </is>
      </c>
      <c r="V122" t="inlineStr">
        <is>
          <t>Sin respuesta del cliente</t>
        </is>
      </c>
      <c r="Y122" t="inlineStr">
        <is>
          <t>2026-T1</t>
        </is>
      </c>
      <c r="Z122">
        <f>IF(AND(M124&gt;0,C124&lt;Resumen!$B$3),"Sí","No")</f>
        <v/>
      </c>
      <c r="AA122">
        <f>IF(AND(L124&gt;0,M124&gt;0),"Sí","No")</f>
        <v/>
      </c>
      <c r="AB122">
        <f>IF(J124="USD","Sí","No")</f>
        <v/>
      </c>
    </row>
    <row r="123">
      <c r="A123" t="inlineStr">
        <is>
          <t>FAC-00119</t>
        </is>
      </c>
      <c r="B123" s="33" t="n">
        <v>46035</v>
      </c>
      <c r="C123" s="33" t="n">
        <v>46050</v>
      </c>
      <c r="E123" t="inlineStr">
        <is>
          <t>CL-017</t>
        </is>
      </c>
      <c r="F123" t="inlineStr">
        <is>
          <t>Punto Sur S.A.</t>
        </is>
      </c>
      <c r="G123" t="inlineStr">
        <is>
          <t>PyME servicios recurrentes</t>
        </is>
      </c>
      <c r="H123" t="inlineStr">
        <is>
          <t>SRV-004</t>
        </is>
      </c>
      <c r="I123" t="inlineStr">
        <is>
          <t>Reporte mensual / tablero de control</t>
        </is>
      </c>
      <c r="J123" t="inlineStr">
        <is>
          <t>USD</t>
        </is>
      </c>
      <c r="K123" t="n">
        <v>1050</v>
      </c>
      <c r="L123" t="n">
        <v>0</v>
      </c>
      <c r="M123" t="n">
        <v>0</v>
      </c>
      <c r="N123" t="n">
        <v>1457</v>
      </c>
      <c r="O123" t="n">
        <v>0</v>
      </c>
      <c r="P123" t="n">
        <v>0</v>
      </c>
      <c r="Q123">
        <f>IF(M120&lt;=0,"Cobrada",IF(L120&gt;0,"Parcial",IF(C120&lt;Resumen!$B$3,"Vencida",IF(C120&lt;=Resumen!$B$3+15,"Por vencer","Pendiente"))))</f>
        <v/>
      </c>
      <c r="R123" t="n">
        <v>0</v>
      </c>
      <c r="S123">
        <f>IF(M120&lt;=0,"Sin prioridad",IF(R120&gt;60,"Alta",IF(R120&gt;30,"Media",IF(C120&lt;=Resumen!$B$3+15,"Media","Baja"))))</f>
        <v/>
      </c>
      <c r="T123" t="inlineStr">
        <is>
          <t>Sofía</t>
        </is>
      </c>
      <c r="U123" t="inlineStr">
        <is>
          <t>Reenviar factura</t>
        </is>
      </c>
      <c r="Y123" t="inlineStr">
        <is>
          <t>2026-T1</t>
        </is>
      </c>
      <c r="Z123">
        <f>IF(AND(M120&gt;0,C120&lt;Resumen!$B$3),"Sí","No")</f>
        <v/>
      </c>
      <c r="AA123">
        <f>IF(AND(L120&gt;0,M120&gt;0),"Sí","No")</f>
        <v/>
      </c>
      <c r="AB123">
        <f>IF(J120="USD","Sí","No")</f>
        <v/>
      </c>
    </row>
    <row r="124">
      <c r="A124" t="inlineStr">
        <is>
          <t>FAC-00130</t>
        </is>
      </c>
      <c r="B124" s="33" t="n">
        <v>46036</v>
      </c>
      <c r="C124" s="33" t="n">
        <v>46081</v>
      </c>
      <c r="D124" s="33" t="n">
        <v>46086</v>
      </c>
      <c r="E124" t="inlineStr">
        <is>
          <t>CL-014</t>
        </is>
      </c>
      <c r="F124" t="inlineStr">
        <is>
          <t>Norte Gestión Integral S.R.L.</t>
        </is>
      </c>
      <c r="G124" t="inlineStr">
        <is>
          <t>PyME servicios recurrentes</t>
        </is>
      </c>
      <c r="H124" t="inlineStr">
        <is>
          <t>SRV-001</t>
        </is>
      </c>
      <c r="I124" t="inlineStr">
        <is>
          <t>Abono mensual administrativo</t>
        </is>
      </c>
      <c r="J124" t="inlineStr">
        <is>
          <t>ARS</t>
        </is>
      </c>
      <c r="K124" t="n">
        <v>594000</v>
      </c>
      <c r="L124" t="n">
        <v>594000</v>
      </c>
      <c r="M124" t="n">
        <v>0</v>
      </c>
      <c r="N124" t="n">
        <v>1457</v>
      </c>
      <c r="O124" t="n">
        <v>0</v>
      </c>
      <c r="P124" t="n">
        <v>0</v>
      </c>
      <c r="Q124">
        <f>IF(M131&lt;=0,"Cobrada",IF(L131&gt;0,"Parcial",IF(C131&lt;Resumen!$B$3,"Vencida",IF(C131&lt;=Resumen!$B$3+15,"Por vencer","Pendiente"))))</f>
        <v/>
      </c>
      <c r="R124" t="n">
        <v>0</v>
      </c>
      <c r="S124">
        <f>IF(M131&lt;=0,"Sin prioridad",IF(R131&gt;60,"Alta",IF(R131&gt;30,"Media",IF(C131&lt;=Resumen!$B$3+15,"Media","Baja"))))</f>
        <v/>
      </c>
      <c r="T124" t="inlineStr">
        <is>
          <t>Carlos</t>
        </is>
      </c>
      <c r="U124" t="inlineStr">
        <is>
          <t>Sin acción</t>
        </is>
      </c>
      <c r="V124" t="inlineStr">
        <is>
          <t>Sin respuesta del cliente</t>
        </is>
      </c>
      <c r="Y124" t="inlineStr">
        <is>
          <t>2026-T1</t>
        </is>
      </c>
      <c r="Z124">
        <f>IF(AND(M131&gt;0,C131&lt;Resumen!$B$3),"Sí","No")</f>
        <v/>
      </c>
      <c r="AA124">
        <f>IF(AND(L131&gt;0,M131&gt;0),"Sí","No")</f>
        <v/>
      </c>
      <c r="AB124">
        <f>IF(J131="USD","Sí","No")</f>
        <v/>
      </c>
    </row>
    <row r="125">
      <c r="A125" t="inlineStr">
        <is>
          <t>FAC-00114</t>
        </is>
      </c>
      <c r="B125" s="33" t="n">
        <v>46038</v>
      </c>
      <c r="C125" s="33" t="n">
        <v>46053</v>
      </c>
      <c r="E125" t="inlineStr">
        <is>
          <t>CL-011</t>
        </is>
      </c>
      <c r="F125" t="inlineStr">
        <is>
          <t>Impulso Gestión S.A.S.</t>
        </is>
      </c>
      <c r="G125" t="inlineStr">
        <is>
          <t>PyME servicios recurrentes</t>
        </is>
      </c>
      <c r="H125" t="inlineStr">
        <is>
          <t>SRV-001</t>
        </is>
      </c>
      <c r="I125" t="inlineStr">
        <is>
          <t>Abono mensual administrativo</t>
        </is>
      </c>
      <c r="J125" t="inlineStr">
        <is>
          <t>ARS</t>
        </is>
      </c>
      <c r="K125" t="n">
        <v>726000</v>
      </c>
      <c r="L125" t="n">
        <v>0</v>
      </c>
      <c r="M125" t="n">
        <v>0</v>
      </c>
      <c r="N125" t="n">
        <v>1457</v>
      </c>
      <c r="O125" t="n">
        <v>0</v>
      </c>
      <c r="P125" t="n">
        <v>0</v>
      </c>
      <c r="Q125">
        <f>IF(M115&lt;=0,"Cobrada",IF(L115&gt;0,"Parcial",IF(C115&lt;Resumen!$B$3,"Vencida",IF(C115&lt;=Resumen!$B$3+15,"Por vencer","Pendiente"))))</f>
        <v/>
      </c>
      <c r="R125" t="n">
        <v>0</v>
      </c>
      <c r="S125">
        <f>IF(M115&lt;=0,"Sin prioridad",IF(R115&gt;60,"Alta",IF(R115&gt;30,"Media",IF(C115&lt;=Resumen!$B$3+15,"Media","Baja"))))</f>
        <v/>
      </c>
      <c r="T125" t="inlineStr">
        <is>
          <t>Carlos</t>
        </is>
      </c>
      <c r="U125" t="inlineStr">
        <is>
          <t>Llamar al cliente</t>
        </is>
      </c>
      <c r="V125" t="inlineStr">
        <is>
          <t>Pendiente de confirmación de pago</t>
        </is>
      </c>
      <c r="Y125" t="inlineStr">
        <is>
          <t>2026-T1</t>
        </is>
      </c>
      <c r="Z125">
        <f>IF(AND(M115&gt;0,C115&lt;Resumen!$B$3),"Sí","No")</f>
        <v/>
      </c>
      <c r="AA125">
        <f>IF(AND(L115&gt;0,M115&gt;0),"Sí","No")</f>
        <v/>
      </c>
      <c r="AB125">
        <f>IF(J115="USD","Sí","No")</f>
        <v/>
      </c>
    </row>
    <row r="126">
      <c r="A126" t="inlineStr">
        <is>
          <t>FAC-00127</t>
        </is>
      </c>
      <c r="B126" s="33" t="n">
        <v>46040</v>
      </c>
      <c r="C126" s="33" t="n">
        <v>46055</v>
      </c>
      <c r="D126" s="33" t="n">
        <v>46064</v>
      </c>
      <c r="E126" t="inlineStr">
        <is>
          <t>CL-001</t>
        </is>
      </c>
      <c r="F126" t="inlineStr">
        <is>
          <t>Altos del Centro S.R.L.</t>
        </is>
      </c>
      <c r="G126" t="inlineStr">
        <is>
          <t>PyME servicios recurrentes</t>
        </is>
      </c>
      <c r="H126" t="inlineStr">
        <is>
          <t>SRV-001</t>
        </is>
      </c>
      <c r="I126" t="inlineStr">
        <is>
          <t>Abono mensual administrativo</t>
        </is>
      </c>
      <c r="J126" t="inlineStr">
        <is>
          <t>ARS</t>
        </is>
      </c>
      <c r="K126" t="n">
        <v>890000</v>
      </c>
      <c r="L126" t="n">
        <v>890000</v>
      </c>
      <c r="M126" t="n">
        <v>0</v>
      </c>
      <c r="N126" t="n">
        <v>1457</v>
      </c>
      <c r="O126" t="n">
        <v>0</v>
      </c>
      <c r="P126" t="n">
        <v>0</v>
      </c>
      <c r="Q126">
        <f>IF(M128&lt;=0,"Cobrada",IF(L128&gt;0,"Parcial",IF(C128&lt;Resumen!$B$3,"Vencida",IF(C128&lt;=Resumen!$B$3+15,"Por vencer","Pendiente"))))</f>
        <v/>
      </c>
      <c r="R126" t="n">
        <v>0</v>
      </c>
      <c r="S126">
        <f>IF(M128&lt;=0,"Sin prioridad",IF(R128&gt;60,"Alta",IF(R128&gt;30,"Media",IF(C128&lt;=Resumen!$B$3+15,"Media","Baja"))))</f>
        <v/>
      </c>
      <c r="T126" t="inlineStr">
        <is>
          <t>Carlos</t>
        </is>
      </c>
      <c r="U126" t="inlineStr">
        <is>
          <t>Sin acción</t>
        </is>
      </c>
      <c r="Y126" t="inlineStr">
        <is>
          <t>2026-T1</t>
        </is>
      </c>
      <c r="Z126">
        <f>IF(AND(M128&gt;0,C128&lt;Resumen!$B$3),"Sí","No")</f>
        <v/>
      </c>
      <c r="AA126">
        <f>IF(AND(L128&gt;0,M128&gt;0),"Sí","No")</f>
        <v/>
      </c>
      <c r="AB126">
        <f>IF(J128="USD","Sí","No")</f>
        <v/>
      </c>
    </row>
    <row r="127">
      <c r="A127" t="inlineStr">
        <is>
          <t>FAC-00129</t>
        </is>
      </c>
      <c r="B127" s="33" t="n">
        <v>46041</v>
      </c>
      <c r="C127" s="33" t="n">
        <v>46071</v>
      </c>
      <c r="D127" s="33" t="n">
        <v>46101</v>
      </c>
      <c r="E127" t="inlineStr">
        <is>
          <t>CL-008</t>
        </is>
      </c>
      <c r="F127" t="inlineStr">
        <is>
          <t>Faro Administrativo S.A.S.</t>
        </is>
      </c>
      <c r="G127" t="inlineStr">
        <is>
          <t>PyME servicios recurrentes</t>
        </is>
      </c>
      <c r="H127" t="inlineStr">
        <is>
          <t>SRV-005</t>
        </is>
      </c>
      <c r="I127" t="inlineStr">
        <is>
          <t>Servicio extraordinario puntual</t>
        </is>
      </c>
      <c r="J127" t="inlineStr">
        <is>
          <t>ARS</t>
        </is>
      </c>
      <c r="K127" t="n">
        <v>907000</v>
      </c>
      <c r="L127" t="n">
        <v>655974.11</v>
      </c>
      <c r="M127" t="n">
        <v>0</v>
      </c>
      <c r="N127" t="n">
        <v>1457</v>
      </c>
      <c r="O127" t="n">
        <v>0</v>
      </c>
      <c r="P127" t="n">
        <v>0</v>
      </c>
      <c r="Q127">
        <f>IF(M130&lt;=0,"Cobrada",IF(L130&gt;0,"Parcial",IF(C130&lt;Resumen!$B$3,"Vencida",IF(C130&lt;=Resumen!$B$3+15,"Por vencer","Pendiente"))))</f>
        <v/>
      </c>
      <c r="R127" t="n">
        <v>0</v>
      </c>
      <c r="S127">
        <f>IF(M130&lt;=0,"Sin prioridad",IF(R130&gt;60,"Alta",IF(R130&gt;30,"Media",IF(C130&lt;=Resumen!$B$3+15,"Media","Baja"))))</f>
        <v/>
      </c>
      <c r="T127" t="inlineStr">
        <is>
          <t>Sofía</t>
        </is>
      </c>
      <c r="U127" t="inlineStr">
        <is>
          <t>Reclamar saldo parcial</t>
        </is>
      </c>
      <c r="V127" t="inlineStr">
        <is>
          <t>Pendiente de confirmación de pago</t>
        </is>
      </c>
      <c r="Y127" t="inlineStr">
        <is>
          <t>2026-T1</t>
        </is>
      </c>
      <c r="Z127">
        <f>IF(AND(M130&gt;0,C130&lt;Resumen!$B$3),"Sí","No")</f>
        <v/>
      </c>
      <c r="AA127">
        <f>IF(AND(L130&gt;0,M130&gt;0),"Sí","No")</f>
        <v/>
      </c>
      <c r="AB127">
        <f>IF(J130="USD","Sí","No")</f>
        <v/>
      </c>
    </row>
    <row r="128">
      <c r="A128" t="inlineStr">
        <is>
          <t>FAC-00131</t>
        </is>
      </c>
      <c r="B128" s="33" t="n">
        <v>46041</v>
      </c>
      <c r="C128" s="33" t="n">
        <v>46086</v>
      </c>
      <c r="D128" s="33" t="n">
        <v>46090</v>
      </c>
      <c r="E128" t="inlineStr">
        <is>
          <t>CL-016</t>
        </is>
      </c>
      <c r="F128" t="inlineStr">
        <is>
          <t>Patagonia Gestión S.R.L.</t>
        </is>
      </c>
      <c r="G128" t="inlineStr">
        <is>
          <t>PyME servicios recurrentes</t>
        </is>
      </c>
      <c r="H128" t="inlineStr">
        <is>
          <t>SRV-002</t>
        </is>
      </c>
      <c r="I128" t="inlineStr">
        <is>
          <t>Soporte operativo</t>
        </is>
      </c>
      <c r="J128" t="inlineStr">
        <is>
          <t>ARS</t>
        </is>
      </c>
      <c r="K128" t="n">
        <v>514000</v>
      </c>
      <c r="L128" t="n">
        <v>514000</v>
      </c>
      <c r="M128" t="n">
        <v>0</v>
      </c>
      <c r="N128" t="n">
        <v>1457</v>
      </c>
      <c r="O128" t="n">
        <v>0</v>
      </c>
      <c r="P128" t="n">
        <v>0</v>
      </c>
      <c r="Q128">
        <f>IF(M132&lt;=0,"Cobrada",IF(L132&gt;0,"Parcial",IF(C132&lt;Resumen!$B$3,"Vencida",IF(C132&lt;=Resumen!$B$3+15,"Por vencer","Pendiente"))))</f>
        <v/>
      </c>
      <c r="R128" t="n">
        <v>0</v>
      </c>
      <c r="S128">
        <f>IF(M132&lt;=0,"Sin prioridad",IF(R132&gt;60,"Alta",IF(R132&gt;30,"Media",IF(C132&lt;=Resumen!$B$3+15,"Media","Baja"))))</f>
        <v/>
      </c>
      <c r="T128" t="inlineStr">
        <is>
          <t>Matías</t>
        </is>
      </c>
      <c r="U128" t="inlineStr">
        <is>
          <t>Sin acción</t>
        </is>
      </c>
      <c r="V128" t="inlineStr">
        <is>
          <t>Pago prometido para próxima semana</t>
        </is>
      </c>
      <c r="Y128" t="inlineStr">
        <is>
          <t>2026-T1</t>
        </is>
      </c>
      <c r="Z128">
        <f>IF(AND(M132&gt;0,C132&lt;Resumen!$B$3),"Sí","No")</f>
        <v/>
      </c>
      <c r="AA128">
        <f>IF(AND(L132&gt;0,M132&gt;0),"Sí","No")</f>
        <v/>
      </c>
      <c r="AB128">
        <f>IF(J132="USD","Sí","No")</f>
        <v/>
      </c>
    </row>
    <row r="129">
      <c r="A129" t="inlineStr">
        <is>
          <t>FAC-00132</t>
        </is>
      </c>
      <c r="B129" s="33" t="n">
        <v>46044</v>
      </c>
      <c r="C129" s="33" t="n">
        <v>46074</v>
      </c>
      <c r="D129" s="33" t="n">
        <v>46088</v>
      </c>
      <c r="E129" t="inlineStr">
        <is>
          <t>CL-008</t>
        </is>
      </c>
      <c r="F129" t="inlineStr">
        <is>
          <t>Faro Administrativo S.A.S.</t>
        </is>
      </c>
      <c r="G129" t="inlineStr">
        <is>
          <t>PyME servicios recurrentes</t>
        </is>
      </c>
      <c r="H129" t="inlineStr">
        <is>
          <t>SRV-002</t>
        </is>
      </c>
      <c r="I129" t="inlineStr">
        <is>
          <t>Soporte operativo</t>
        </is>
      </c>
      <c r="J129" t="inlineStr">
        <is>
          <t>USD</t>
        </is>
      </c>
      <c r="K129" t="n">
        <v>300</v>
      </c>
      <c r="L129" t="n">
        <v>138.91</v>
      </c>
      <c r="M129" t="n">
        <v>0</v>
      </c>
      <c r="N129" t="n">
        <v>1457</v>
      </c>
      <c r="O129" t="n">
        <v>0</v>
      </c>
      <c r="P129" t="n">
        <v>0</v>
      </c>
      <c r="Q129">
        <f>IF(M133&lt;=0,"Cobrada",IF(L133&gt;0,"Parcial",IF(C133&lt;Resumen!$B$3,"Vencida",IF(C133&lt;=Resumen!$B$3+15,"Por vencer","Pendiente"))))</f>
        <v/>
      </c>
      <c r="R129" t="n">
        <v>0</v>
      </c>
      <c r="S129">
        <f>IF(M133&lt;=0,"Sin prioridad",IF(R133&gt;60,"Alta",IF(R133&gt;30,"Media",IF(C133&lt;=Resumen!$B$3+15,"Media","Baja"))))</f>
        <v/>
      </c>
      <c r="T129" t="inlineStr">
        <is>
          <t>Sofía</t>
        </is>
      </c>
      <c r="U129" t="inlineStr">
        <is>
          <t>Reclamar saldo parcial</t>
        </is>
      </c>
      <c r="V129" t="inlineStr">
        <is>
          <t>Cliente solicita reenvío de factura</t>
        </is>
      </c>
      <c r="Y129" t="inlineStr">
        <is>
          <t>2026-T1</t>
        </is>
      </c>
      <c r="Z129">
        <f>IF(AND(M133&gt;0,C133&lt;Resumen!$B$3),"Sí","No")</f>
        <v/>
      </c>
      <c r="AA129">
        <f>IF(AND(L133&gt;0,M133&gt;0),"Sí","No")</f>
        <v/>
      </c>
      <c r="AB129">
        <f>IF(J133="USD","Sí","No")</f>
        <v/>
      </c>
    </row>
    <row r="130">
      <c r="A130" t="inlineStr">
        <is>
          <t>FAC-00120</t>
        </is>
      </c>
      <c r="B130" s="33" t="n">
        <v>46048</v>
      </c>
      <c r="C130" s="33" t="n">
        <v>46063</v>
      </c>
      <c r="D130" s="33" t="n">
        <v>46075</v>
      </c>
      <c r="E130" t="inlineStr">
        <is>
          <t>CL-003</t>
        </is>
      </c>
      <c r="F130" t="inlineStr">
        <is>
          <t>Arco Norte S.R.L.</t>
        </is>
      </c>
      <c r="G130" t="inlineStr">
        <is>
          <t>PyME servicios recurrentes</t>
        </is>
      </c>
      <c r="H130" t="inlineStr">
        <is>
          <t>SRV-005</t>
        </is>
      </c>
      <c r="I130" t="inlineStr">
        <is>
          <t>Servicio extraordinario puntual</t>
        </is>
      </c>
      <c r="J130" t="inlineStr">
        <is>
          <t>ARS</t>
        </is>
      </c>
      <c r="K130" t="n">
        <v>455000</v>
      </c>
      <c r="L130" t="n">
        <v>455000</v>
      </c>
      <c r="M130" t="n">
        <v>0</v>
      </c>
      <c r="N130" t="n">
        <v>1457</v>
      </c>
      <c r="O130" t="n">
        <v>0</v>
      </c>
      <c r="P130" t="n">
        <v>0</v>
      </c>
      <c r="Q130">
        <f>IF(M121&lt;=0,"Cobrada",IF(L121&gt;0,"Parcial",IF(C121&lt;Resumen!$B$3,"Vencida",IF(C121&lt;=Resumen!$B$3+15,"Por vencer","Pendiente"))))</f>
        <v/>
      </c>
      <c r="R130" t="n">
        <v>0</v>
      </c>
      <c r="S130">
        <f>IF(M121&lt;=0,"Sin prioridad",IF(R121&gt;60,"Alta",IF(R121&gt;30,"Media",IF(C121&lt;=Resumen!$B$3+15,"Media","Baja"))))</f>
        <v/>
      </c>
      <c r="T130" t="inlineStr">
        <is>
          <t>Sofía</t>
        </is>
      </c>
      <c r="U130" t="inlineStr">
        <is>
          <t>Sin acción</t>
        </is>
      </c>
      <c r="Y130" t="inlineStr">
        <is>
          <t>2026-T1</t>
        </is>
      </c>
      <c r="Z130">
        <f>IF(AND(M121&gt;0,C121&lt;Resumen!$B$3),"Sí","No")</f>
        <v/>
      </c>
      <c r="AA130">
        <f>IF(AND(L121&gt;0,M121&gt;0),"Sí","No")</f>
        <v/>
      </c>
      <c r="AB130">
        <f>IF(J121="USD","Sí","No")</f>
        <v/>
      </c>
    </row>
    <row r="131">
      <c r="A131" t="inlineStr">
        <is>
          <t>FAC-00121</t>
        </is>
      </c>
      <c r="B131" s="33" t="n">
        <v>46048</v>
      </c>
      <c r="C131" s="33" t="n">
        <v>46108</v>
      </c>
      <c r="E131" t="inlineStr">
        <is>
          <t>CL-006</t>
        </is>
      </c>
      <c r="F131" t="inlineStr">
        <is>
          <t>Delta Gestión PyME S.A.</t>
        </is>
      </c>
      <c r="G131" t="inlineStr">
        <is>
          <t>PyME servicios recurrentes</t>
        </is>
      </c>
      <c r="H131" t="inlineStr">
        <is>
          <t>SRV-004</t>
        </is>
      </c>
      <c r="I131" t="inlineStr">
        <is>
          <t>Reporte mensual / tablero de control</t>
        </is>
      </c>
      <c r="J131" t="inlineStr">
        <is>
          <t>USD</t>
        </is>
      </c>
      <c r="K131" t="n">
        <v>1200</v>
      </c>
      <c r="L131" t="n">
        <v>0</v>
      </c>
      <c r="M131" t="n">
        <v>0</v>
      </c>
      <c r="N131" t="n">
        <v>1457</v>
      </c>
      <c r="O131" t="n">
        <v>0</v>
      </c>
      <c r="P131" t="n">
        <v>0</v>
      </c>
      <c r="Q131">
        <f>IF(M122&lt;=0,"Cobrada",IF(L122&gt;0,"Parcial",IF(C122&lt;Resumen!$B$3,"Vencida",IF(C122&lt;=Resumen!$B$3+15,"Por vencer","Pendiente"))))</f>
        <v/>
      </c>
      <c r="R131" t="n">
        <v>0</v>
      </c>
      <c r="S131">
        <f>IF(M122&lt;=0,"Sin prioridad",IF(R122&gt;60,"Alta",IF(R122&gt;30,"Media",IF(C122&lt;=Resumen!$B$3+15,"Media","Baja"))))</f>
        <v/>
      </c>
      <c r="T131" t="inlineStr">
        <is>
          <t>Ana</t>
        </is>
      </c>
      <c r="U131" t="inlineStr">
        <is>
          <t>Enviar recordatorio</t>
        </is>
      </c>
      <c r="V131" t="inlineStr">
        <is>
          <t>Sin respuesta del cliente</t>
        </is>
      </c>
      <c r="Y131" t="inlineStr">
        <is>
          <t>2026-T1</t>
        </is>
      </c>
      <c r="Z131">
        <f>IF(AND(M122&gt;0,C122&lt;Resumen!$B$3),"Sí","No")</f>
        <v/>
      </c>
      <c r="AA131">
        <f>IF(AND(L122&gt;0,M122&gt;0),"Sí","No")</f>
        <v/>
      </c>
      <c r="AB131">
        <f>IF(J122="USD","Sí","No")</f>
        <v/>
      </c>
    </row>
    <row r="132">
      <c r="A132" t="inlineStr">
        <is>
          <t>FAC-00117</t>
        </is>
      </c>
      <c r="B132" s="33" t="n">
        <v>46050</v>
      </c>
      <c r="C132" s="33" t="n">
        <v>46095</v>
      </c>
      <c r="D132" s="33" t="n">
        <v>46132</v>
      </c>
      <c r="E132" t="inlineStr">
        <is>
          <t>CL-012</t>
        </is>
      </c>
      <c r="F132" t="inlineStr">
        <is>
          <t>Litoral Soluciones S.R.L.</t>
        </is>
      </c>
      <c r="G132" t="inlineStr">
        <is>
          <t>PyME servicios recurrentes</t>
        </is>
      </c>
      <c r="H132" t="inlineStr">
        <is>
          <t>SRV-001</t>
        </is>
      </c>
      <c r="I132" t="inlineStr">
        <is>
          <t>Abono mensual administrativo</t>
        </is>
      </c>
      <c r="J132" t="inlineStr">
        <is>
          <t>USD</t>
        </is>
      </c>
      <c r="K132" t="n">
        <v>850</v>
      </c>
      <c r="L132" t="n">
        <v>850</v>
      </c>
      <c r="M132" t="n">
        <v>0</v>
      </c>
      <c r="N132" t="n">
        <v>1457</v>
      </c>
      <c r="O132" t="n">
        <v>0</v>
      </c>
      <c r="P132" t="n">
        <v>0</v>
      </c>
      <c r="Q132">
        <f>IF(M118&lt;=0,"Cobrada",IF(L118&gt;0,"Parcial",IF(C118&lt;Resumen!$B$3,"Vencida",IF(C118&lt;=Resumen!$B$3+15,"Por vencer","Pendiente"))))</f>
        <v/>
      </c>
      <c r="R132" t="n">
        <v>0</v>
      </c>
      <c r="S132">
        <f>IF(M118&lt;=0,"Sin prioridad",IF(R118&gt;60,"Alta",IF(R118&gt;30,"Media",IF(C118&lt;=Resumen!$B$3+15,"Media","Baja"))))</f>
        <v/>
      </c>
      <c r="T132" t="inlineStr">
        <is>
          <t>Matías</t>
        </is>
      </c>
      <c r="U132" t="inlineStr">
        <is>
          <t>Sin acción</t>
        </is>
      </c>
      <c r="V132" t="inlineStr">
        <is>
          <t>Sin respuesta del cliente</t>
        </is>
      </c>
      <c r="Y132" t="inlineStr">
        <is>
          <t>2026-T1</t>
        </is>
      </c>
      <c r="Z132">
        <f>IF(AND(M118&gt;0,C118&lt;Resumen!$B$3),"Sí","No")</f>
        <v/>
      </c>
      <c r="AA132">
        <f>IF(AND(L118&gt;0,M118&gt;0),"Sí","No")</f>
        <v/>
      </c>
      <c r="AB132">
        <f>IF(J118="USD","Sí","No")</f>
        <v/>
      </c>
    </row>
    <row r="133">
      <c r="A133" t="inlineStr">
        <is>
          <t>FAC-00125</t>
        </is>
      </c>
      <c r="B133" s="33" t="n">
        <v>46050</v>
      </c>
      <c r="C133" s="33" t="n">
        <v>46095</v>
      </c>
      <c r="D133" s="33" t="n">
        <v>46121</v>
      </c>
      <c r="E133" t="inlineStr">
        <is>
          <t>CL-012</t>
        </is>
      </c>
      <c r="F133" t="inlineStr">
        <is>
          <t>Litoral Soluciones S.R.L.</t>
        </is>
      </c>
      <c r="G133" t="inlineStr">
        <is>
          <t>PyME servicios recurrentes</t>
        </is>
      </c>
      <c r="H133" t="inlineStr">
        <is>
          <t>SRV-004</t>
        </is>
      </c>
      <c r="I133" t="inlineStr">
        <is>
          <t>Reporte mensual / tablero de control</t>
        </is>
      </c>
      <c r="J133" t="inlineStr">
        <is>
          <t>USD</t>
        </is>
      </c>
      <c r="K133" t="n">
        <v>1000</v>
      </c>
      <c r="L133" t="n">
        <v>1000</v>
      </c>
      <c r="M133" t="n">
        <v>0</v>
      </c>
      <c r="N133" t="n">
        <v>1457</v>
      </c>
      <c r="O133" t="n">
        <v>0</v>
      </c>
      <c r="P133" t="n">
        <v>0</v>
      </c>
      <c r="Q133">
        <f>IF(M126&lt;=0,"Cobrada",IF(L126&gt;0,"Parcial",IF(C126&lt;Resumen!$B$3,"Vencida",IF(C126&lt;=Resumen!$B$3+15,"Por vencer","Pendiente"))))</f>
        <v/>
      </c>
      <c r="R133" t="n">
        <v>0</v>
      </c>
      <c r="S133">
        <f>IF(M126&lt;=0,"Sin prioridad",IF(R126&gt;60,"Alta",IF(R126&gt;30,"Media",IF(C126&lt;=Resumen!$B$3+15,"Media","Baja"))))</f>
        <v/>
      </c>
      <c r="T133" t="inlineStr">
        <is>
          <t>Matías</t>
        </is>
      </c>
      <c r="U133" t="inlineStr">
        <is>
          <t>Sin acción</t>
        </is>
      </c>
      <c r="V133" t="inlineStr">
        <is>
          <t>Pago prometido para próxima semana</t>
        </is>
      </c>
      <c r="Y133" t="inlineStr">
        <is>
          <t>2026-T1</t>
        </is>
      </c>
      <c r="Z133">
        <f>IF(AND(M126&gt;0,C126&lt;Resumen!$B$3),"Sí","No")</f>
        <v/>
      </c>
      <c r="AA133">
        <f>IF(AND(L126&gt;0,M126&gt;0),"Sí","No")</f>
        <v/>
      </c>
      <c r="AB133">
        <f>IF(J126="USD","Sí","No")</f>
        <v/>
      </c>
    </row>
    <row r="134">
      <c r="A134" t="inlineStr">
        <is>
          <t>FAC-00148</t>
        </is>
      </c>
      <c r="B134" s="33" t="n">
        <v>46054</v>
      </c>
      <c r="C134" s="33" t="n">
        <v>46099</v>
      </c>
      <c r="E134" t="inlineStr">
        <is>
          <t>CL-010</t>
        </is>
      </c>
      <c r="F134" t="inlineStr">
        <is>
          <t>Horizonte Servicios S.R.L.</t>
        </is>
      </c>
      <c r="G134" t="inlineStr">
        <is>
          <t>PyME servicios recurrentes</t>
        </is>
      </c>
      <c r="H134" t="inlineStr">
        <is>
          <t>SRV-002</t>
        </is>
      </c>
      <c r="I134" t="inlineStr">
        <is>
          <t>Soporte operativo</t>
        </is>
      </c>
      <c r="J134" t="inlineStr">
        <is>
          <t>ARS</t>
        </is>
      </c>
      <c r="K134" t="n">
        <v>534000</v>
      </c>
      <c r="L134" t="n">
        <v>0</v>
      </c>
      <c r="M134" t="n">
        <v>0</v>
      </c>
      <c r="N134" t="n">
        <v>1501</v>
      </c>
      <c r="O134" t="n">
        <v>0</v>
      </c>
      <c r="P134" t="n">
        <v>0</v>
      </c>
      <c r="Q134">
        <f>IF(M149&lt;=0,"Cobrada",IF(L149&gt;0,"Parcial",IF(C149&lt;Resumen!$B$3,"Vencida",IF(C149&lt;=Resumen!$B$3+15,"Por vencer","Pendiente"))))</f>
        <v/>
      </c>
      <c r="R134" t="n">
        <v>0</v>
      </c>
      <c r="S134">
        <f>IF(M149&lt;=0,"Sin prioridad",IF(R149&gt;60,"Alta",IF(R149&gt;30,"Media",IF(C149&lt;=Resumen!$B$3+15,"Media","Baja"))))</f>
        <v/>
      </c>
      <c r="T134" t="inlineStr">
        <is>
          <t>Matías</t>
        </is>
      </c>
      <c r="U134" t="inlineStr">
        <is>
          <t>Escalar gestión</t>
        </is>
      </c>
      <c r="V134" t="inlineStr">
        <is>
          <t>Sin respuesta del cliente</t>
        </is>
      </c>
      <c r="Y134" t="inlineStr">
        <is>
          <t>2026-T1</t>
        </is>
      </c>
      <c r="Z134">
        <f>IF(AND(M149&gt;0,C149&lt;Resumen!$B$3),"Sí","No")</f>
        <v/>
      </c>
      <c r="AA134">
        <f>IF(AND(L149&gt;0,M149&gt;0),"Sí","No")</f>
        <v/>
      </c>
      <c r="AB134">
        <f>IF(J149="USD","Sí","No")</f>
        <v/>
      </c>
    </row>
    <row r="135">
      <c r="A135" t="inlineStr">
        <is>
          <t>FAC-00137</t>
        </is>
      </c>
      <c r="B135" s="33" t="n">
        <v>46056</v>
      </c>
      <c r="C135" s="33" t="n">
        <v>46071</v>
      </c>
      <c r="D135" s="33" t="n">
        <v>46114</v>
      </c>
      <c r="E135" t="inlineStr">
        <is>
          <t>CL-017</t>
        </is>
      </c>
      <c r="F135" t="inlineStr">
        <is>
          <t>Punto Sur S.A.</t>
        </is>
      </c>
      <c r="G135" t="inlineStr">
        <is>
          <t>PyME servicios recurrentes</t>
        </is>
      </c>
      <c r="H135" t="inlineStr">
        <is>
          <t>SRV-003</t>
        </is>
      </c>
      <c r="I135" t="inlineStr">
        <is>
          <t>Consultoría de gestión</t>
        </is>
      </c>
      <c r="J135" t="inlineStr">
        <is>
          <t>USD</t>
        </is>
      </c>
      <c r="K135" t="n">
        <v>1700</v>
      </c>
      <c r="L135" t="n">
        <v>588.13</v>
      </c>
      <c r="M135" t="n">
        <v>0</v>
      </c>
      <c r="N135" t="n">
        <v>1501</v>
      </c>
      <c r="O135" t="n">
        <v>0</v>
      </c>
      <c r="P135" t="n">
        <v>0</v>
      </c>
      <c r="Q135">
        <f>IF(M138&lt;=0,"Cobrada",IF(L138&gt;0,"Parcial",IF(C138&lt;Resumen!$B$3,"Vencida",IF(C138&lt;=Resumen!$B$3+15,"Por vencer","Pendiente"))))</f>
        <v/>
      </c>
      <c r="R135" t="n">
        <v>0</v>
      </c>
      <c r="S135">
        <f>IF(M138&lt;=0,"Sin prioridad",IF(R138&gt;60,"Alta",IF(R138&gt;30,"Media",IF(C138&lt;=Resumen!$B$3+15,"Media","Baja"))))</f>
        <v/>
      </c>
      <c r="T135" t="inlineStr">
        <is>
          <t>Sofía</t>
        </is>
      </c>
      <c r="U135" t="inlineStr">
        <is>
          <t>Reclamar saldo parcial</t>
        </is>
      </c>
      <c r="V135" t="inlineStr">
        <is>
          <t>En seguimiento administrativo</t>
        </is>
      </c>
      <c r="Y135" t="inlineStr">
        <is>
          <t>2026-T1</t>
        </is>
      </c>
      <c r="Z135">
        <f>IF(AND(M138&gt;0,C138&lt;Resumen!$B$3),"Sí","No")</f>
        <v/>
      </c>
      <c r="AA135">
        <f>IF(AND(L138&gt;0,M138&gt;0),"Sí","No")</f>
        <v/>
      </c>
      <c r="AB135">
        <f>IF(J138="USD","Sí","No")</f>
        <v/>
      </c>
    </row>
    <row r="136">
      <c r="A136" t="inlineStr">
        <is>
          <t>FAC-00145</t>
        </is>
      </c>
      <c r="B136" s="33" t="n">
        <v>46056</v>
      </c>
      <c r="C136" s="33" t="n">
        <v>46101</v>
      </c>
      <c r="D136" s="33" t="n">
        <v>46110</v>
      </c>
      <c r="E136" t="inlineStr">
        <is>
          <t>CL-016</t>
        </is>
      </c>
      <c r="F136" t="inlineStr">
        <is>
          <t>Patagonia Gestión S.R.L.</t>
        </is>
      </c>
      <c r="G136" t="inlineStr">
        <is>
          <t>PyME servicios recurrentes</t>
        </is>
      </c>
      <c r="H136" t="inlineStr">
        <is>
          <t>SRV-002</t>
        </is>
      </c>
      <c r="I136" t="inlineStr">
        <is>
          <t>Soporte operativo</t>
        </is>
      </c>
      <c r="J136" t="inlineStr">
        <is>
          <t>ARS</t>
        </is>
      </c>
      <c r="K136" t="n">
        <v>835000</v>
      </c>
      <c r="L136" t="n">
        <v>835000</v>
      </c>
      <c r="M136" t="n">
        <v>0</v>
      </c>
      <c r="N136" t="n">
        <v>1501</v>
      </c>
      <c r="O136" t="n">
        <v>0</v>
      </c>
      <c r="P136" t="n">
        <v>0</v>
      </c>
      <c r="Q136">
        <f>IF(M146&lt;=0,"Cobrada",IF(L146&gt;0,"Parcial",IF(C146&lt;Resumen!$B$3,"Vencida",IF(C146&lt;=Resumen!$B$3+15,"Por vencer","Pendiente"))))</f>
        <v/>
      </c>
      <c r="R136" t="n">
        <v>0</v>
      </c>
      <c r="S136">
        <f>IF(M146&lt;=0,"Sin prioridad",IF(R146&gt;60,"Alta",IF(R146&gt;30,"Media",IF(C146&lt;=Resumen!$B$3+15,"Media","Baja"))))</f>
        <v/>
      </c>
      <c r="T136" t="inlineStr">
        <is>
          <t>Matías</t>
        </is>
      </c>
      <c r="U136" t="inlineStr">
        <is>
          <t>Sin acción</t>
        </is>
      </c>
      <c r="V136" t="inlineStr">
        <is>
          <t>Pendiente de confirmación de pago</t>
        </is>
      </c>
      <c r="Y136" t="inlineStr">
        <is>
          <t>2026-T1</t>
        </is>
      </c>
      <c r="Z136">
        <f>IF(AND(M146&gt;0,C146&lt;Resumen!$B$3),"Sí","No")</f>
        <v/>
      </c>
      <c r="AA136">
        <f>IF(AND(L146&gt;0,M146&gt;0),"Sí","No")</f>
        <v/>
      </c>
      <c r="AB136">
        <f>IF(J146="USD","Sí","No")</f>
        <v/>
      </c>
    </row>
    <row r="137">
      <c r="A137" t="inlineStr">
        <is>
          <t>FAC-00139</t>
        </is>
      </c>
      <c r="B137" s="33" t="n">
        <v>46057</v>
      </c>
      <c r="C137" s="33" t="n">
        <v>46072</v>
      </c>
      <c r="D137" s="33" t="n">
        <v>46070</v>
      </c>
      <c r="E137" t="inlineStr">
        <is>
          <t>CL-011</t>
        </is>
      </c>
      <c r="F137" t="inlineStr">
        <is>
          <t>Impulso Gestión S.A.S.</t>
        </is>
      </c>
      <c r="G137" t="inlineStr">
        <is>
          <t>PyME servicios recurrentes</t>
        </is>
      </c>
      <c r="H137" t="inlineStr">
        <is>
          <t>SRV-003</t>
        </is>
      </c>
      <c r="I137" t="inlineStr">
        <is>
          <t>Consultoría de gestión</t>
        </is>
      </c>
      <c r="J137" t="inlineStr">
        <is>
          <t>USD</t>
        </is>
      </c>
      <c r="K137" t="n">
        <v>2350</v>
      </c>
      <c r="L137" t="n">
        <v>2350</v>
      </c>
      <c r="M137" t="n">
        <v>0</v>
      </c>
      <c r="N137" t="n">
        <v>1501</v>
      </c>
      <c r="O137" t="n">
        <v>0</v>
      </c>
      <c r="P137" t="n">
        <v>0</v>
      </c>
      <c r="Q137">
        <f>IF(M140&lt;=0,"Cobrada",IF(L140&gt;0,"Parcial",IF(C140&lt;Resumen!$B$3,"Vencida",IF(C140&lt;=Resumen!$B$3+15,"Por vencer","Pendiente"))))</f>
        <v/>
      </c>
      <c r="R137" t="n">
        <v>0</v>
      </c>
      <c r="S137">
        <f>IF(M140&lt;=0,"Sin prioridad",IF(R140&gt;60,"Alta",IF(R140&gt;30,"Media",IF(C140&lt;=Resumen!$B$3+15,"Media","Baja"))))</f>
        <v/>
      </c>
      <c r="T137" t="inlineStr">
        <is>
          <t>Carlos</t>
        </is>
      </c>
      <c r="U137" t="inlineStr">
        <is>
          <t>Sin acción</t>
        </is>
      </c>
      <c r="V137" t="inlineStr">
        <is>
          <t>Cliente solicita reenvío de factura</t>
        </is>
      </c>
      <c r="Y137" t="inlineStr">
        <is>
          <t>2026-T1</t>
        </is>
      </c>
      <c r="Z137">
        <f>IF(AND(M140&gt;0,C140&lt;Resumen!$B$3),"Sí","No")</f>
        <v/>
      </c>
      <c r="AA137">
        <f>IF(AND(L140&gt;0,M140&gt;0),"Sí","No")</f>
        <v/>
      </c>
      <c r="AB137">
        <f>IF(J140="USD","Sí","No")</f>
        <v/>
      </c>
    </row>
    <row r="138">
      <c r="A138" t="inlineStr">
        <is>
          <t>FAC-00134</t>
        </is>
      </c>
      <c r="B138" s="33" t="n">
        <v>46058</v>
      </c>
      <c r="C138" s="33" t="n">
        <v>46088</v>
      </c>
      <c r="E138" t="inlineStr">
        <is>
          <t>CL-021</t>
        </is>
      </c>
      <c r="F138" t="inlineStr">
        <is>
          <t>Unión PyME Servicios S.A.</t>
        </is>
      </c>
      <c r="G138" t="inlineStr">
        <is>
          <t>PyME servicios recurrentes</t>
        </is>
      </c>
      <c r="H138" t="inlineStr">
        <is>
          <t>SRV-003</t>
        </is>
      </c>
      <c r="I138" t="inlineStr">
        <is>
          <t>Consultoría de gestión</t>
        </is>
      </c>
      <c r="J138" t="inlineStr">
        <is>
          <t>ARS</t>
        </is>
      </c>
      <c r="K138" t="n">
        <v>1551000</v>
      </c>
      <c r="L138" t="n">
        <v>0</v>
      </c>
      <c r="M138" t="n">
        <v>0</v>
      </c>
      <c r="N138" t="n">
        <v>1501</v>
      </c>
      <c r="O138" t="n">
        <v>0</v>
      </c>
      <c r="P138" t="n">
        <v>0</v>
      </c>
      <c r="Q138">
        <f>IF(M135&lt;=0,"Cobrada",IF(L135&gt;0,"Parcial",IF(C135&lt;Resumen!$B$3,"Vencida",IF(C135&lt;=Resumen!$B$3+15,"Por vencer","Pendiente"))))</f>
        <v/>
      </c>
      <c r="R138" t="n">
        <v>0</v>
      </c>
      <c r="S138">
        <f>IF(M135&lt;=0,"Sin prioridad",IF(R135&gt;60,"Alta",IF(R135&gt;30,"Media",IF(C135&lt;=Resumen!$B$3+15,"Media","Baja"))))</f>
        <v/>
      </c>
      <c r="T138" t="inlineStr">
        <is>
          <t>Ana</t>
        </is>
      </c>
      <c r="U138" t="inlineStr">
        <is>
          <t>Reenviar factura</t>
        </is>
      </c>
      <c r="V138" t="inlineStr">
        <is>
          <t>Cliente solicita reenvío de factura</t>
        </is>
      </c>
      <c r="Y138" t="inlineStr">
        <is>
          <t>2026-T1</t>
        </is>
      </c>
      <c r="Z138">
        <f>IF(AND(M135&gt;0,C135&lt;Resumen!$B$3),"Sí","No")</f>
        <v/>
      </c>
      <c r="AA138">
        <f>IF(AND(L135&gt;0,M135&gt;0),"Sí","No")</f>
        <v/>
      </c>
      <c r="AB138">
        <f>IF(J135="USD","Sí","No")</f>
        <v/>
      </c>
    </row>
    <row r="139">
      <c r="A139" t="inlineStr">
        <is>
          <t>FAC-00143</t>
        </is>
      </c>
      <c r="B139" s="33" t="n">
        <v>46058</v>
      </c>
      <c r="C139" s="33" t="n">
        <v>46088</v>
      </c>
      <c r="D139" s="33" t="n">
        <v>46087</v>
      </c>
      <c r="E139" t="inlineStr">
        <is>
          <t>CL-002</t>
        </is>
      </c>
      <c r="F139" t="inlineStr">
        <is>
          <t>Andes Gestión S.A.</t>
        </is>
      </c>
      <c r="G139" t="inlineStr">
        <is>
          <t>PyME servicios recurrentes</t>
        </is>
      </c>
      <c r="H139" t="inlineStr">
        <is>
          <t>SRV-001</t>
        </is>
      </c>
      <c r="I139" t="inlineStr">
        <is>
          <t>Abono mensual administrativo</t>
        </is>
      </c>
      <c r="J139" t="inlineStr">
        <is>
          <t>ARS</t>
        </is>
      </c>
      <c r="K139" t="n">
        <v>907000</v>
      </c>
      <c r="L139" t="n">
        <v>907000</v>
      </c>
      <c r="M139" t="n">
        <v>0</v>
      </c>
      <c r="N139" t="n">
        <v>1501</v>
      </c>
      <c r="O139" t="n">
        <v>0</v>
      </c>
      <c r="P139" t="n">
        <v>0</v>
      </c>
      <c r="Q139">
        <f>IF(M144&lt;=0,"Cobrada",IF(L144&gt;0,"Parcial",IF(C144&lt;Resumen!$B$3,"Vencida",IF(C144&lt;=Resumen!$B$3+15,"Por vencer","Pendiente"))))</f>
        <v/>
      </c>
      <c r="R139" t="n">
        <v>0</v>
      </c>
      <c r="S139">
        <f>IF(M144&lt;=0,"Sin prioridad",IF(R144&gt;60,"Alta",IF(R144&gt;30,"Media",IF(C144&lt;=Resumen!$B$3+15,"Media","Baja"))))</f>
        <v/>
      </c>
      <c r="T139" t="inlineStr">
        <is>
          <t>Matías</t>
        </is>
      </c>
      <c r="U139" t="inlineStr">
        <is>
          <t>Sin acción</t>
        </is>
      </c>
      <c r="V139" t="inlineStr">
        <is>
          <t>Sin respuesta del cliente</t>
        </is>
      </c>
      <c r="Y139" t="inlineStr">
        <is>
          <t>2026-T1</t>
        </is>
      </c>
      <c r="Z139">
        <f>IF(AND(M144&gt;0,C144&lt;Resumen!$B$3),"Sí","No")</f>
        <v/>
      </c>
      <c r="AA139">
        <f>IF(AND(L144&gt;0,M144&gt;0),"Sí","No")</f>
        <v/>
      </c>
      <c r="AB139">
        <f>IF(J144="USD","Sí","No")</f>
        <v/>
      </c>
    </row>
    <row r="140">
      <c r="A140" t="inlineStr">
        <is>
          <t>FAC-00141</t>
        </is>
      </c>
      <c r="B140" s="33" t="n">
        <v>46059</v>
      </c>
      <c r="C140" s="33" t="n">
        <v>46104</v>
      </c>
      <c r="D140" s="33" t="n">
        <v>46113</v>
      </c>
      <c r="E140" t="inlineStr">
        <is>
          <t>CL-007</t>
        </is>
      </c>
      <c r="F140" t="inlineStr">
        <is>
          <t>Eje Comercial S.R.L.</t>
        </is>
      </c>
      <c r="G140" t="inlineStr">
        <is>
          <t>PyME servicios recurrentes</t>
        </is>
      </c>
      <c r="H140" t="inlineStr">
        <is>
          <t>SRV-001</t>
        </is>
      </c>
      <c r="I140" t="inlineStr">
        <is>
          <t>Abono mensual administrativo</t>
        </is>
      </c>
      <c r="J140" t="inlineStr">
        <is>
          <t>ARS</t>
        </is>
      </c>
      <c r="K140" t="n">
        <v>657000</v>
      </c>
      <c r="L140" t="n">
        <v>657000</v>
      </c>
      <c r="M140" t="n">
        <v>0</v>
      </c>
      <c r="N140" t="n">
        <v>1501</v>
      </c>
      <c r="O140" t="n">
        <v>0</v>
      </c>
      <c r="P140" t="n">
        <v>0</v>
      </c>
      <c r="Q140">
        <f>IF(M142&lt;=0,"Cobrada",IF(L142&gt;0,"Parcial",IF(C142&lt;Resumen!$B$3,"Vencida",IF(C142&lt;=Resumen!$B$3+15,"Por vencer","Pendiente"))))</f>
        <v/>
      </c>
      <c r="R140" t="n">
        <v>0</v>
      </c>
      <c r="S140">
        <f>IF(M142&lt;=0,"Sin prioridad",IF(R142&gt;60,"Alta",IF(R142&gt;30,"Media",IF(C142&lt;=Resumen!$B$3+15,"Media","Baja"))))</f>
        <v/>
      </c>
      <c r="T140" t="inlineStr">
        <is>
          <t>Matías</t>
        </is>
      </c>
      <c r="U140" t="inlineStr">
        <is>
          <t>Sin acción</t>
        </is>
      </c>
      <c r="V140" t="inlineStr">
        <is>
          <t>Pendiente de confirmación de pago</t>
        </is>
      </c>
      <c r="Y140" t="inlineStr">
        <is>
          <t>2026-T1</t>
        </is>
      </c>
      <c r="Z140">
        <f>IF(AND(M142&gt;0,C142&lt;Resumen!$B$3),"Sí","No")</f>
        <v/>
      </c>
      <c r="AA140">
        <f>IF(AND(L142&gt;0,M142&gt;0),"Sí","No")</f>
        <v/>
      </c>
      <c r="AB140">
        <f>IF(J142="USD","Sí","No")</f>
        <v/>
      </c>
    </row>
    <row r="141">
      <c r="A141" t="inlineStr">
        <is>
          <t>FAC-00144</t>
        </is>
      </c>
      <c r="B141" s="33" t="n">
        <v>46060</v>
      </c>
      <c r="C141" s="33" t="n">
        <v>46090</v>
      </c>
      <c r="D141" s="33" t="n">
        <v>46108</v>
      </c>
      <c r="E141" t="inlineStr">
        <is>
          <t>CL-008</t>
        </is>
      </c>
      <c r="F141" t="inlineStr">
        <is>
          <t>Faro Administrativo S.A.S.</t>
        </is>
      </c>
      <c r="G141" t="inlineStr">
        <is>
          <t>PyME servicios recurrentes</t>
        </is>
      </c>
      <c r="H141" t="inlineStr">
        <is>
          <t>SRV-001</t>
        </is>
      </c>
      <c r="I141" t="inlineStr">
        <is>
          <t>Abono mensual administrativo</t>
        </is>
      </c>
      <c r="J141" t="inlineStr">
        <is>
          <t>USD</t>
        </is>
      </c>
      <c r="K141" t="n">
        <v>450</v>
      </c>
      <c r="L141" t="n">
        <v>450</v>
      </c>
      <c r="M141" t="n">
        <v>0</v>
      </c>
      <c r="N141" t="n">
        <v>1501</v>
      </c>
      <c r="O141" t="n">
        <v>0</v>
      </c>
      <c r="P141" t="n">
        <v>0</v>
      </c>
      <c r="Q141">
        <f>IF(M145&lt;=0,"Cobrada",IF(L145&gt;0,"Parcial",IF(C145&lt;Resumen!$B$3,"Vencida",IF(C145&lt;=Resumen!$B$3+15,"Por vencer","Pendiente"))))</f>
        <v/>
      </c>
      <c r="R141" t="n">
        <v>0</v>
      </c>
      <c r="S141">
        <f>IF(M145&lt;=0,"Sin prioridad",IF(R145&gt;60,"Alta",IF(R145&gt;30,"Media",IF(C145&lt;=Resumen!$B$3+15,"Media","Baja"))))</f>
        <v/>
      </c>
      <c r="T141" t="inlineStr">
        <is>
          <t>Sofía</t>
        </is>
      </c>
      <c r="U141" t="inlineStr">
        <is>
          <t>Sin acción</t>
        </is>
      </c>
      <c r="Y141" t="inlineStr">
        <is>
          <t>2026-T1</t>
        </is>
      </c>
      <c r="Z141">
        <f>IF(AND(M145&gt;0,C145&lt;Resumen!$B$3),"Sí","No")</f>
        <v/>
      </c>
      <c r="AA141">
        <f>IF(AND(L145&gt;0,M145&gt;0),"Sí","No")</f>
        <v/>
      </c>
      <c r="AB141">
        <f>IF(J145="USD","Sí","No")</f>
        <v/>
      </c>
    </row>
    <row r="142">
      <c r="A142" t="inlineStr">
        <is>
          <t>FAC-00140</t>
        </is>
      </c>
      <c r="B142" s="33" t="n">
        <v>46062</v>
      </c>
      <c r="C142" s="33" t="n">
        <v>46107</v>
      </c>
      <c r="D142" s="33" t="n">
        <v>46110</v>
      </c>
      <c r="E142" t="inlineStr">
        <is>
          <t>CL-016</t>
        </is>
      </c>
      <c r="F142" t="inlineStr">
        <is>
          <t>Patagonia Gestión S.R.L.</t>
        </is>
      </c>
      <c r="G142" t="inlineStr">
        <is>
          <t>PyME servicios recurrentes</t>
        </is>
      </c>
      <c r="H142" t="inlineStr">
        <is>
          <t>SRV-001</t>
        </is>
      </c>
      <c r="I142" t="inlineStr">
        <is>
          <t>Abono mensual administrativo</t>
        </is>
      </c>
      <c r="J142" t="inlineStr">
        <is>
          <t>ARS</t>
        </is>
      </c>
      <c r="K142" t="n">
        <v>523000</v>
      </c>
      <c r="L142" t="n">
        <v>523000</v>
      </c>
      <c r="M142" t="n">
        <v>0</v>
      </c>
      <c r="N142" t="n">
        <v>1501</v>
      </c>
      <c r="O142" t="n">
        <v>0</v>
      </c>
      <c r="P142" t="n">
        <v>0</v>
      </c>
      <c r="Q142">
        <f>IF(M141&lt;=0,"Cobrada",IF(L141&gt;0,"Parcial",IF(C141&lt;Resumen!$B$3,"Vencida",IF(C141&lt;=Resumen!$B$3+15,"Por vencer","Pendiente"))))</f>
        <v/>
      </c>
      <c r="R142" t="n">
        <v>0</v>
      </c>
      <c r="S142">
        <f>IF(M141&lt;=0,"Sin prioridad",IF(R141&gt;60,"Alta",IF(R141&gt;30,"Media",IF(C141&lt;=Resumen!$B$3+15,"Media","Baja"))))</f>
        <v/>
      </c>
      <c r="T142" t="inlineStr">
        <is>
          <t>Matías</t>
        </is>
      </c>
      <c r="U142" t="inlineStr">
        <is>
          <t>Sin acción</t>
        </is>
      </c>
      <c r="V142" t="inlineStr">
        <is>
          <t>Sin respuesta del cliente</t>
        </is>
      </c>
      <c r="Y142" t="inlineStr">
        <is>
          <t>2026-T1</t>
        </is>
      </c>
      <c r="Z142">
        <f>IF(AND(M141&gt;0,C141&lt;Resumen!$B$3),"Sí","No")</f>
        <v/>
      </c>
      <c r="AA142">
        <f>IF(AND(L141&gt;0,M141&gt;0),"Sí","No")</f>
        <v/>
      </c>
      <c r="AB142">
        <f>IF(J141="USD","Sí","No")</f>
        <v/>
      </c>
    </row>
    <row r="143">
      <c r="A143" t="inlineStr">
        <is>
          <t>FAC-00151</t>
        </is>
      </c>
      <c r="B143" s="33" t="n">
        <v>46062</v>
      </c>
      <c r="C143" s="33" t="n">
        <v>46107</v>
      </c>
      <c r="D143" s="33" t="n">
        <v>46105</v>
      </c>
      <c r="E143" t="inlineStr">
        <is>
          <t>CL-014</t>
        </is>
      </c>
      <c r="F143" t="inlineStr">
        <is>
          <t>Norte Gestión Integral S.R.L.</t>
        </is>
      </c>
      <c r="G143" t="inlineStr">
        <is>
          <t>PyME servicios recurrentes</t>
        </is>
      </c>
      <c r="H143" t="inlineStr">
        <is>
          <t>SRV-001</t>
        </is>
      </c>
      <c r="I143" t="inlineStr">
        <is>
          <t>Abono mensual administrativo</t>
        </is>
      </c>
      <c r="J143" t="inlineStr">
        <is>
          <t>ARS</t>
        </is>
      </c>
      <c r="K143" t="n">
        <v>426000</v>
      </c>
      <c r="L143" t="n">
        <v>426000</v>
      </c>
      <c r="M143" t="n">
        <v>0</v>
      </c>
      <c r="N143" t="n">
        <v>1501</v>
      </c>
      <c r="O143" t="n">
        <v>0</v>
      </c>
      <c r="P143" t="n">
        <v>0</v>
      </c>
      <c r="Q143">
        <f>IF(M152&lt;=0,"Cobrada",IF(L152&gt;0,"Parcial",IF(C152&lt;Resumen!$B$3,"Vencida",IF(C152&lt;=Resumen!$B$3+15,"Por vencer","Pendiente"))))</f>
        <v/>
      </c>
      <c r="R143" t="n">
        <v>0</v>
      </c>
      <c r="S143">
        <f>IF(M152&lt;=0,"Sin prioridad",IF(R152&gt;60,"Alta",IF(R152&gt;30,"Media",IF(C152&lt;=Resumen!$B$3+15,"Media","Baja"))))</f>
        <v/>
      </c>
      <c r="T143" t="inlineStr">
        <is>
          <t>Carlos</t>
        </is>
      </c>
      <c r="U143" t="inlineStr">
        <is>
          <t>Sin acción</t>
        </is>
      </c>
      <c r="V143" t="inlineStr">
        <is>
          <t>En seguimiento administrativo</t>
        </is>
      </c>
      <c r="Y143" t="inlineStr">
        <is>
          <t>2026-T1</t>
        </is>
      </c>
      <c r="Z143">
        <f>IF(AND(M152&gt;0,C152&lt;Resumen!$B$3),"Sí","No")</f>
        <v/>
      </c>
      <c r="AA143">
        <f>IF(AND(L152&gt;0,M152&gt;0),"Sí","No")</f>
        <v/>
      </c>
      <c r="AB143">
        <f>IF(J152="USD","Sí","No")</f>
        <v/>
      </c>
    </row>
    <row r="144">
      <c r="A144" t="inlineStr">
        <is>
          <t>FAC-00135</t>
        </is>
      </c>
      <c r="B144" s="33" t="n">
        <v>46063</v>
      </c>
      <c r="C144" s="33" t="n">
        <v>46078</v>
      </c>
      <c r="D144" s="33" t="n">
        <v>46110</v>
      </c>
      <c r="E144" t="inlineStr">
        <is>
          <t>CL-020</t>
        </is>
      </c>
      <c r="F144" t="inlineStr">
        <is>
          <t>Tango Gestión S.R.L.</t>
        </is>
      </c>
      <c r="G144" t="inlineStr">
        <is>
          <t>PyME servicios recurrentes</t>
        </is>
      </c>
      <c r="H144" t="inlineStr">
        <is>
          <t>SRV-002</t>
        </is>
      </c>
      <c r="I144" t="inlineStr">
        <is>
          <t>Soporte operativo</t>
        </is>
      </c>
      <c r="J144" t="inlineStr">
        <is>
          <t>ARS</t>
        </is>
      </c>
      <c r="K144" t="n">
        <v>592000</v>
      </c>
      <c r="L144" t="n">
        <v>592000</v>
      </c>
      <c r="M144" t="n">
        <v>0</v>
      </c>
      <c r="N144" t="n">
        <v>1501</v>
      </c>
      <c r="O144" t="n">
        <v>0</v>
      </c>
      <c r="P144" t="n">
        <v>0</v>
      </c>
      <c r="Q144">
        <f>IF(M136&lt;=0,"Cobrada",IF(L136&gt;0,"Parcial",IF(C136&lt;Resumen!$B$3,"Vencida",IF(C136&lt;=Resumen!$B$3+15,"Por vencer","Pendiente"))))</f>
        <v/>
      </c>
      <c r="R144" t="n">
        <v>0</v>
      </c>
      <c r="S144">
        <f>IF(M136&lt;=0,"Sin prioridad",IF(R136&gt;60,"Alta",IF(R136&gt;30,"Media",IF(C136&lt;=Resumen!$B$3+15,"Media","Baja"))))</f>
        <v/>
      </c>
      <c r="T144" t="inlineStr">
        <is>
          <t>Ana</t>
        </is>
      </c>
      <c r="U144" t="inlineStr">
        <is>
          <t>Sin acción</t>
        </is>
      </c>
      <c r="V144" t="inlineStr">
        <is>
          <t>Cliente solicita reenvío de factura</t>
        </is>
      </c>
      <c r="Y144" t="inlineStr">
        <is>
          <t>2026-T1</t>
        </is>
      </c>
      <c r="Z144">
        <f>IF(AND(M136&gt;0,C136&lt;Resumen!$B$3),"Sí","No")</f>
        <v/>
      </c>
      <c r="AA144">
        <f>IF(AND(L136&gt;0,M136&gt;0),"Sí","No")</f>
        <v/>
      </c>
      <c r="AB144">
        <f>IF(J136="USD","Sí","No")</f>
        <v/>
      </c>
    </row>
    <row r="145">
      <c r="A145" t="inlineStr">
        <is>
          <t>FAC-00146</t>
        </is>
      </c>
      <c r="B145" s="33" t="n">
        <v>46063</v>
      </c>
      <c r="C145" s="33" t="n">
        <v>46078</v>
      </c>
      <c r="D145" s="33" t="n">
        <v>46081</v>
      </c>
      <c r="E145" t="inlineStr">
        <is>
          <t>CL-004</t>
        </is>
      </c>
      <c r="F145" t="inlineStr">
        <is>
          <t>Base Sur Servicios S.A.S.</t>
        </is>
      </c>
      <c r="G145" t="inlineStr">
        <is>
          <t>PyME servicios recurrentes</t>
        </is>
      </c>
      <c r="H145" t="inlineStr">
        <is>
          <t>SRV-001</t>
        </is>
      </c>
      <c r="I145" t="inlineStr">
        <is>
          <t>Abono mensual administrativo</t>
        </is>
      </c>
      <c r="J145" t="inlineStr">
        <is>
          <t>ARS</t>
        </is>
      </c>
      <c r="K145" t="n">
        <v>768000</v>
      </c>
      <c r="L145" t="n">
        <v>768000</v>
      </c>
      <c r="M145" t="n">
        <v>0</v>
      </c>
      <c r="N145" t="n">
        <v>1501</v>
      </c>
      <c r="O145" t="n">
        <v>0</v>
      </c>
      <c r="P145" t="n">
        <v>0</v>
      </c>
      <c r="Q145">
        <f>IF(M147&lt;=0,"Cobrada",IF(L147&gt;0,"Parcial",IF(C147&lt;Resumen!$B$3,"Vencida",IF(C147&lt;=Resumen!$B$3+15,"Por vencer","Pendiente"))))</f>
        <v/>
      </c>
      <c r="R145" t="n">
        <v>0</v>
      </c>
      <c r="S145">
        <f>IF(M147&lt;=0,"Sin prioridad",IF(R147&gt;60,"Alta",IF(R147&gt;30,"Media",IF(C147&lt;=Resumen!$B$3+15,"Media","Baja"))))</f>
        <v/>
      </c>
      <c r="T145" t="inlineStr">
        <is>
          <t>Ana</t>
        </is>
      </c>
      <c r="U145" t="inlineStr">
        <is>
          <t>Sin acción</t>
        </is>
      </c>
      <c r="V145" t="inlineStr">
        <is>
          <t>Pendiente de confirmación de pago</t>
        </is>
      </c>
      <c r="Y145" t="inlineStr">
        <is>
          <t>2026-T1</t>
        </is>
      </c>
      <c r="Z145">
        <f>IF(AND(M147&gt;0,C147&lt;Resumen!$B$3),"Sí","No")</f>
        <v/>
      </c>
      <c r="AA145">
        <f>IF(AND(L147&gt;0,M147&gt;0),"Sí","No")</f>
        <v/>
      </c>
      <c r="AB145">
        <f>IF(J147="USD","Sí","No")</f>
        <v/>
      </c>
    </row>
    <row r="146">
      <c r="A146" t="inlineStr">
        <is>
          <t>FAC-00147</t>
        </is>
      </c>
      <c r="B146" s="33" t="n">
        <v>46064</v>
      </c>
      <c r="C146" s="33" t="n">
        <v>46094</v>
      </c>
      <c r="D146" s="33" t="n">
        <v>46095</v>
      </c>
      <c r="E146" t="inlineStr">
        <is>
          <t>CL-002</t>
        </is>
      </c>
      <c r="F146" t="inlineStr">
        <is>
          <t>Andes Gestión S.A.</t>
        </is>
      </c>
      <c r="G146" t="inlineStr">
        <is>
          <t>PyME servicios recurrentes</t>
        </is>
      </c>
      <c r="H146" t="inlineStr">
        <is>
          <t>SRV-002</t>
        </is>
      </c>
      <c r="I146" t="inlineStr">
        <is>
          <t>Soporte operativo</t>
        </is>
      </c>
      <c r="J146" t="inlineStr">
        <is>
          <t>USD</t>
        </is>
      </c>
      <c r="K146" t="n">
        <v>750</v>
      </c>
      <c r="L146" t="n">
        <v>750</v>
      </c>
      <c r="M146" t="n">
        <v>0</v>
      </c>
      <c r="N146" t="n">
        <v>1501</v>
      </c>
      <c r="O146" t="n">
        <v>0</v>
      </c>
      <c r="P146" t="n">
        <v>0</v>
      </c>
      <c r="Q146">
        <f>IF(M148&lt;=0,"Cobrada",IF(L148&gt;0,"Parcial",IF(C148&lt;Resumen!$B$3,"Vencida",IF(C148&lt;=Resumen!$B$3+15,"Por vencer","Pendiente"))))</f>
        <v/>
      </c>
      <c r="R146" t="n">
        <v>0</v>
      </c>
      <c r="S146">
        <f>IF(M148&lt;=0,"Sin prioridad",IF(R148&gt;60,"Alta",IF(R148&gt;30,"Media",IF(C148&lt;=Resumen!$B$3+15,"Media","Baja"))))</f>
        <v/>
      </c>
      <c r="T146" t="inlineStr">
        <is>
          <t>Matías</t>
        </is>
      </c>
      <c r="U146" t="inlineStr">
        <is>
          <t>Sin acción</t>
        </is>
      </c>
      <c r="V146" t="inlineStr">
        <is>
          <t>Pendiente de confirmación de pago</t>
        </is>
      </c>
      <c r="Y146" t="inlineStr">
        <is>
          <t>2026-T1</t>
        </is>
      </c>
      <c r="Z146">
        <f>IF(AND(M148&gt;0,C148&lt;Resumen!$B$3),"Sí","No")</f>
        <v/>
      </c>
      <c r="AA146">
        <f>IF(AND(L148&gt;0,M148&gt;0),"Sí","No")</f>
        <v/>
      </c>
      <c r="AB146">
        <f>IF(J148="USD","Sí","No")</f>
        <v/>
      </c>
    </row>
    <row r="147">
      <c r="A147" t="inlineStr">
        <is>
          <t>FAC-00136</t>
        </is>
      </c>
      <c r="B147" s="33" t="n">
        <v>46065</v>
      </c>
      <c r="C147" s="33" t="n">
        <v>46110</v>
      </c>
      <c r="D147" s="33" t="n">
        <v>46131</v>
      </c>
      <c r="E147" t="inlineStr">
        <is>
          <t>CL-024</t>
        </is>
      </c>
      <c r="F147" t="inlineStr">
        <is>
          <t>Zonda Gestión S.R.L.</t>
        </is>
      </c>
      <c r="G147" t="inlineStr">
        <is>
          <t>PyME servicios recurrentes</t>
        </is>
      </c>
      <c r="H147" t="inlineStr">
        <is>
          <t>SRV-001</t>
        </is>
      </c>
      <c r="I147" t="inlineStr">
        <is>
          <t>Abono mensual administrativo</t>
        </is>
      </c>
      <c r="J147" t="inlineStr">
        <is>
          <t>ARS</t>
        </is>
      </c>
      <c r="K147" t="n">
        <v>698000</v>
      </c>
      <c r="L147" t="n">
        <v>698000</v>
      </c>
      <c r="M147" t="n">
        <v>0</v>
      </c>
      <c r="N147" t="n">
        <v>1501</v>
      </c>
      <c r="O147" t="n">
        <v>0</v>
      </c>
      <c r="P147" t="n">
        <v>0</v>
      </c>
      <c r="Q147">
        <f>IF(M137&lt;=0,"Cobrada",IF(L137&gt;0,"Parcial",IF(C137&lt;Resumen!$B$3,"Vencida",IF(C137&lt;=Resumen!$B$3+15,"Por vencer","Pendiente"))))</f>
        <v/>
      </c>
      <c r="R147" t="n">
        <v>0</v>
      </c>
      <c r="S147">
        <f>IF(M137&lt;=0,"Sin prioridad",IF(R137&gt;60,"Alta",IF(R137&gt;30,"Media",IF(C137&lt;=Resumen!$B$3+15,"Media","Baja"))))</f>
        <v/>
      </c>
      <c r="T147" t="inlineStr">
        <is>
          <t>Sofía</t>
        </is>
      </c>
      <c r="U147" t="inlineStr">
        <is>
          <t>Sin acción</t>
        </is>
      </c>
      <c r="V147" t="inlineStr">
        <is>
          <t>Sin respuesta del cliente</t>
        </is>
      </c>
      <c r="Y147" t="inlineStr">
        <is>
          <t>2026-T1</t>
        </is>
      </c>
      <c r="Z147">
        <f>IF(AND(M137&gt;0,C137&lt;Resumen!$B$3),"Sí","No")</f>
        <v/>
      </c>
      <c r="AA147">
        <f>IF(AND(L137&gt;0,M137&gt;0),"Sí","No")</f>
        <v/>
      </c>
      <c r="AB147">
        <f>IF(J137="USD","Sí","No")</f>
        <v/>
      </c>
    </row>
    <row r="148">
      <c r="A148" t="inlineStr">
        <is>
          <t>FAC-00149</t>
        </is>
      </c>
      <c r="B148" s="33" t="n">
        <v>46067</v>
      </c>
      <c r="C148" s="33" t="n">
        <v>46082</v>
      </c>
      <c r="D148" s="33" t="n">
        <v>46102</v>
      </c>
      <c r="E148" t="inlineStr">
        <is>
          <t>CL-013</t>
        </is>
      </c>
      <c r="F148" t="inlineStr">
        <is>
          <t>Mercurio PyME S.A.</t>
        </is>
      </c>
      <c r="G148" t="inlineStr">
        <is>
          <t>PyME servicios recurrentes</t>
        </is>
      </c>
      <c r="H148" t="inlineStr">
        <is>
          <t>SRV-002</t>
        </is>
      </c>
      <c r="I148" t="inlineStr">
        <is>
          <t>Soporte operativo</t>
        </is>
      </c>
      <c r="J148" t="inlineStr">
        <is>
          <t>ARS</t>
        </is>
      </c>
      <c r="K148" t="n">
        <v>538000</v>
      </c>
      <c r="L148" t="n">
        <v>538000</v>
      </c>
      <c r="M148" t="n">
        <v>0</v>
      </c>
      <c r="N148" t="n">
        <v>1501</v>
      </c>
      <c r="O148" t="n">
        <v>0</v>
      </c>
      <c r="P148" t="n">
        <v>0</v>
      </c>
      <c r="Q148">
        <f>IF(M150&lt;=0,"Cobrada",IF(L150&gt;0,"Parcial",IF(C150&lt;Resumen!$B$3,"Vencida",IF(C150&lt;=Resumen!$B$3+15,"Por vencer","Pendiente"))))</f>
        <v/>
      </c>
      <c r="R148" t="n">
        <v>0</v>
      </c>
      <c r="S148">
        <f>IF(M150&lt;=0,"Sin prioridad",IF(R150&gt;60,"Alta",IF(R150&gt;30,"Media",IF(C150&lt;=Resumen!$B$3+15,"Media","Baja"))))</f>
        <v/>
      </c>
      <c r="T148" t="inlineStr">
        <is>
          <t>Sofía</t>
        </is>
      </c>
      <c r="U148" t="inlineStr">
        <is>
          <t>Sin acción</t>
        </is>
      </c>
      <c r="V148" t="inlineStr">
        <is>
          <t>Pago prometido para próxima semana</t>
        </is>
      </c>
      <c r="Y148" t="inlineStr">
        <is>
          <t>2026-T1</t>
        </is>
      </c>
      <c r="Z148">
        <f>IF(AND(M150&gt;0,C150&lt;Resumen!$B$3),"Sí","No")</f>
        <v/>
      </c>
      <c r="AA148">
        <f>IF(AND(L150&gt;0,M150&gt;0),"Sí","No")</f>
        <v/>
      </c>
      <c r="AB148">
        <f>IF(J150="USD","Sí","No")</f>
        <v/>
      </c>
    </row>
    <row r="149">
      <c r="A149" t="inlineStr">
        <is>
          <t>FAC-00150</t>
        </is>
      </c>
      <c r="B149" s="33" t="n">
        <v>46069</v>
      </c>
      <c r="C149" s="33" t="n">
        <v>46099</v>
      </c>
      <c r="E149" t="inlineStr">
        <is>
          <t>CL-008</t>
        </is>
      </c>
      <c r="F149" t="inlineStr">
        <is>
          <t>Faro Administrativo S.A.S.</t>
        </is>
      </c>
      <c r="G149" t="inlineStr">
        <is>
          <t>PyME servicios recurrentes</t>
        </is>
      </c>
      <c r="H149" t="inlineStr">
        <is>
          <t>SRV-001</t>
        </is>
      </c>
      <c r="I149" t="inlineStr">
        <is>
          <t>Abono mensual administrativo</t>
        </is>
      </c>
      <c r="J149" t="inlineStr">
        <is>
          <t>ARS</t>
        </is>
      </c>
      <c r="K149" t="n">
        <v>699000</v>
      </c>
      <c r="L149" t="n">
        <v>0</v>
      </c>
      <c r="M149" t="n">
        <v>0</v>
      </c>
      <c r="N149" t="n">
        <v>1501</v>
      </c>
      <c r="O149" t="n">
        <v>0</v>
      </c>
      <c r="P149" t="n">
        <v>0</v>
      </c>
      <c r="Q149">
        <f>IF(M151&lt;=0,"Cobrada",IF(L151&gt;0,"Parcial",IF(C151&lt;Resumen!$B$3,"Vencida",IF(C151&lt;=Resumen!$B$3+15,"Por vencer","Pendiente"))))</f>
        <v/>
      </c>
      <c r="R149" t="n">
        <v>0</v>
      </c>
      <c r="S149">
        <f>IF(M151&lt;=0,"Sin prioridad",IF(R151&gt;60,"Alta",IF(R151&gt;30,"Media",IF(C151&lt;=Resumen!$B$3+15,"Media","Baja"))))</f>
        <v/>
      </c>
      <c r="T149" t="inlineStr">
        <is>
          <t>Sofía</t>
        </is>
      </c>
      <c r="U149" t="inlineStr">
        <is>
          <t>Reenviar factura</t>
        </is>
      </c>
      <c r="Y149" t="inlineStr">
        <is>
          <t>2026-T1</t>
        </is>
      </c>
      <c r="Z149">
        <f>IF(AND(M151&gt;0,C151&lt;Resumen!$B$3),"Sí","No")</f>
        <v/>
      </c>
      <c r="AA149">
        <f>IF(AND(L151&gt;0,M151&gt;0),"Sí","No")</f>
        <v/>
      </c>
      <c r="AB149">
        <f>IF(J151="USD","Sí","No")</f>
        <v/>
      </c>
    </row>
    <row r="150">
      <c r="A150" t="inlineStr">
        <is>
          <t>FAC-00153</t>
        </is>
      </c>
      <c r="B150" s="33" t="n">
        <v>46069</v>
      </c>
      <c r="C150" s="33" t="n">
        <v>46114</v>
      </c>
      <c r="D150" s="33" t="n">
        <v>46118</v>
      </c>
      <c r="E150" t="inlineStr">
        <is>
          <t>CL-022</t>
        </is>
      </c>
      <c r="F150" t="inlineStr">
        <is>
          <t>Valle Operativo S.R.L.</t>
        </is>
      </c>
      <c r="G150" t="inlineStr">
        <is>
          <t>PyME servicios recurrentes</t>
        </is>
      </c>
      <c r="H150" t="inlineStr">
        <is>
          <t>SRV-002</t>
        </is>
      </c>
      <c r="I150" t="inlineStr">
        <is>
          <t>Soporte operativo</t>
        </is>
      </c>
      <c r="J150" t="inlineStr">
        <is>
          <t>ARS</t>
        </is>
      </c>
      <c r="K150" t="n">
        <v>282000</v>
      </c>
      <c r="L150" t="n">
        <v>209039.43</v>
      </c>
      <c r="M150" t="n">
        <v>0</v>
      </c>
      <c r="N150" t="n">
        <v>1501</v>
      </c>
      <c r="O150" t="n">
        <v>0</v>
      </c>
      <c r="P150" t="n">
        <v>0</v>
      </c>
      <c r="Q150">
        <f>IF(M154&lt;=0,"Cobrada",IF(L154&gt;0,"Parcial",IF(C154&lt;Resumen!$B$3,"Vencida",IF(C154&lt;=Resumen!$B$3+15,"Por vencer","Pendiente"))))</f>
        <v/>
      </c>
      <c r="R150" t="n">
        <v>0</v>
      </c>
      <c r="S150">
        <f>IF(M154&lt;=0,"Sin prioridad",IF(R154&gt;60,"Alta",IF(R154&gt;30,"Media",IF(C154&lt;=Resumen!$B$3+15,"Media","Baja"))))</f>
        <v/>
      </c>
      <c r="T150" t="inlineStr">
        <is>
          <t>Ana</t>
        </is>
      </c>
      <c r="U150" t="inlineStr">
        <is>
          <t>Reclamar saldo parcial</t>
        </is>
      </c>
      <c r="V150" t="inlineStr">
        <is>
          <t>En seguimiento administrativo</t>
        </is>
      </c>
      <c r="Y150" t="inlineStr">
        <is>
          <t>2026-T1</t>
        </is>
      </c>
      <c r="Z150">
        <f>IF(AND(M154&gt;0,C154&lt;Resumen!$B$3),"Sí","No")</f>
        <v/>
      </c>
      <c r="AA150">
        <f>IF(AND(L154&gt;0,M154&gt;0),"Sí","No")</f>
        <v/>
      </c>
      <c r="AB150">
        <f>IF(J154="USD","Sí","No")</f>
        <v/>
      </c>
    </row>
    <row r="151">
      <c r="A151" t="inlineStr">
        <is>
          <t>FAC-00138</t>
        </is>
      </c>
      <c r="B151" s="33" t="n">
        <v>46075</v>
      </c>
      <c r="C151" s="33" t="n">
        <v>46120</v>
      </c>
      <c r="D151" s="33" t="n">
        <v>46161</v>
      </c>
      <c r="E151" t="inlineStr">
        <is>
          <t>CL-012</t>
        </is>
      </c>
      <c r="F151" t="inlineStr">
        <is>
          <t>Litoral Soluciones S.R.L.</t>
        </is>
      </c>
      <c r="G151" t="inlineStr">
        <is>
          <t>PyME servicios recurrentes</t>
        </is>
      </c>
      <c r="H151" t="inlineStr">
        <is>
          <t>SRV-001</t>
        </is>
      </c>
      <c r="I151" t="inlineStr">
        <is>
          <t>Abono mensual administrativo</t>
        </is>
      </c>
      <c r="J151" t="inlineStr">
        <is>
          <t>ARS</t>
        </is>
      </c>
      <c r="K151" t="n">
        <v>841000</v>
      </c>
      <c r="L151" t="n">
        <v>841000</v>
      </c>
      <c r="M151" t="n">
        <v>0</v>
      </c>
      <c r="N151" t="n">
        <v>1501</v>
      </c>
      <c r="O151" t="n">
        <v>0</v>
      </c>
      <c r="P151" t="n">
        <v>0</v>
      </c>
      <c r="Q151">
        <f>IF(M139&lt;=0,"Cobrada",IF(L139&gt;0,"Parcial",IF(C139&lt;Resumen!$B$3,"Vencida",IF(C139&lt;=Resumen!$B$3+15,"Por vencer","Pendiente"))))</f>
        <v/>
      </c>
      <c r="R151" t="n">
        <v>0</v>
      </c>
      <c r="S151">
        <f>IF(M139&lt;=0,"Sin prioridad",IF(R139&gt;60,"Alta",IF(R139&gt;30,"Media",IF(C139&lt;=Resumen!$B$3+15,"Media","Baja"))))</f>
        <v/>
      </c>
      <c r="T151" t="inlineStr">
        <is>
          <t>Matías</t>
        </is>
      </c>
      <c r="U151" t="inlineStr">
        <is>
          <t>Sin acción</t>
        </is>
      </c>
      <c r="V151" t="inlineStr">
        <is>
          <t>Pago prometido para próxima semana</t>
        </is>
      </c>
      <c r="Y151" t="inlineStr">
        <is>
          <t>2026-T1</t>
        </is>
      </c>
      <c r="Z151">
        <f>IF(AND(M139&gt;0,C139&lt;Resumen!$B$3),"Sí","No")</f>
        <v/>
      </c>
      <c r="AA151">
        <f>IF(AND(L139&gt;0,M139&gt;0),"Sí","No")</f>
        <v/>
      </c>
      <c r="AB151">
        <f>IF(J139="USD","Sí","No")</f>
        <v/>
      </c>
    </row>
    <row r="152">
      <c r="A152" t="inlineStr">
        <is>
          <t>FAC-00142</t>
        </is>
      </c>
      <c r="B152" s="33" t="n">
        <v>46076</v>
      </c>
      <c r="C152" s="33" t="n">
        <v>46136</v>
      </c>
      <c r="D152" s="33" t="n">
        <v>46165</v>
      </c>
      <c r="E152" t="inlineStr">
        <is>
          <t>CL-006</t>
        </is>
      </c>
      <c r="F152" t="inlineStr">
        <is>
          <t>Delta Gestión PyME S.A.</t>
        </is>
      </c>
      <c r="G152" t="inlineStr">
        <is>
          <t>PyME servicios recurrentes</t>
        </is>
      </c>
      <c r="H152" t="inlineStr">
        <is>
          <t>SRV-001</t>
        </is>
      </c>
      <c r="I152" t="inlineStr">
        <is>
          <t>Abono mensual administrativo</t>
        </is>
      </c>
      <c r="J152" t="inlineStr">
        <is>
          <t>ARS</t>
        </is>
      </c>
      <c r="K152" t="n">
        <v>925000</v>
      </c>
      <c r="L152" t="n">
        <v>925000</v>
      </c>
      <c r="M152" t="n">
        <v>0</v>
      </c>
      <c r="N152" t="n">
        <v>1501</v>
      </c>
      <c r="O152" t="n">
        <v>0</v>
      </c>
      <c r="P152" t="n">
        <v>0</v>
      </c>
      <c r="Q152">
        <f>IF(M143&lt;=0,"Cobrada",IF(L143&gt;0,"Parcial",IF(C143&lt;Resumen!$B$3,"Vencida",IF(C143&lt;=Resumen!$B$3+15,"Por vencer","Pendiente"))))</f>
        <v/>
      </c>
      <c r="R152" t="n">
        <v>0</v>
      </c>
      <c r="S152">
        <f>IF(M143&lt;=0,"Sin prioridad",IF(R143&gt;60,"Alta",IF(R143&gt;30,"Media",IF(C143&lt;=Resumen!$B$3+15,"Media","Baja"))))</f>
        <v/>
      </c>
      <c r="T152" t="inlineStr">
        <is>
          <t>Ana</t>
        </is>
      </c>
      <c r="U152" t="inlineStr">
        <is>
          <t>Sin acción</t>
        </is>
      </c>
      <c r="V152" t="inlineStr">
        <is>
          <t>Sin respuesta del cliente</t>
        </is>
      </c>
      <c r="Y152" t="inlineStr">
        <is>
          <t>2026-T1</t>
        </is>
      </c>
      <c r="Z152">
        <f>IF(AND(M143&gt;0,C143&lt;Resumen!$B$3),"Sí","No")</f>
        <v/>
      </c>
      <c r="AA152">
        <f>IF(AND(L143&gt;0,M143&gt;0),"Sí","No")</f>
        <v/>
      </c>
      <c r="AB152">
        <f>IF(J143="USD","Sí","No")</f>
        <v/>
      </c>
    </row>
    <row r="153">
      <c r="A153" t="inlineStr">
        <is>
          <t>FAC-00152</t>
        </is>
      </c>
      <c r="B153" s="33" t="n">
        <v>46078</v>
      </c>
      <c r="C153" s="33" t="n">
        <v>46108</v>
      </c>
      <c r="D153" s="33" t="n">
        <v>46118</v>
      </c>
      <c r="E153" t="inlineStr">
        <is>
          <t>CL-021</t>
        </is>
      </c>
      <c r="F153" t="inlineStr">
        <is>
          <t>Unión PyME Servicios S.A.</t>
        </is>
      </c>
      <c r="G153" t="inlineStr">
        <is>
          <t>PyME servicios recurrentes</t>
        </is>
      </c>
      <c r="H153" t="inlineStr">
        <is>
          <t>SRV-002</t>
        </is>
      </c>
      <c r="I153" t="inlineStr">
        <is>
          <t>Soporte operativo</t>
        </is>
      </c>
      <c r="J153" t="inlineStr">
        <is>
          <t>ARS</t>
        </is>
      </c>
      <c r="K153" t="n">
        <v>645000</v>
      </c>
      <c r="L153" t="n">
        <v>645000</v>
      </c>
      <c r="M153" t="n">
        <v>0</v>
      </c>
      <c r="N153" t="n">
        <v>1501</v>
      </c>
      <c r="O153" t="n">
        <v>0</v>
      </c>
      <c r="P153" t="n">
        <v>0</v>
      </c>
      <c r="Q153">
        <f>IF(M153&lt;=0,"Cobrada",IF(L153&gt;0,"Parcial",IF(C153&lt;Resumen!$B$3,"Vencida",IF(C153&lt;=Resumen!$B$3+15,"Por vencer","Pendiente"))))</f>
        <v/>
      </c>
      <c r="R153" t="n">
        <v>0</v>
      </c>
      <c r="S153">
        <f>IF(M153&lt;=0,"Sin prioridad",IF(R153&gt;60,"Alta",IF(R153&gt;30,"Media",IF(C153&lt;=Resumen!$B$3+15,"Media","Baja"))))</f>
        <v/>
      </c>
      <c r="T153" t="inlineStr">
        <is>
          <t>Ana</t>
        </is>
      </c>
      <c r="U153" t="inlineStr">
        <is>
          <t>Sin acción</t>
        </is>
      </c>
      <c r="V153" t="inlineStr">
        <is>
          <t>Sin respuesta del cliente</t>
        </is>
      </c>
      <c r="Y153" t="inlineStr">
        <is>
          <t>2026-T1</t>
        </is>
      </c>
      <c r="Z153">
        <f>IF(AND(M153&gt;0,C153&lt;Resumen!$B$3),"Sí","No")</f>
        <v/>
      </c>
      <c r="AA153">
        <f>IF(AND(L153&gt;0,M153&gt;0),"Sí","No")</f>
        <v/>
      </c>
      <c r="AB153">
        <f>IF(J153="USD","Sí","No")</f>
        <v/>
      </c>
    </row>
    <row r="154">
      <c r="A154" t="inlineStr">
        <is>
          <t>FAC-00133</t>
        </is>
      </c>
      <c r="B154" s="33" t="n">
        <v>46081</v>
      </c>
      <c r="C154" s="33" t="n">
        <v>46126</v>
      </c>
      <c r="D154" s="33" t="n">
        <v>46121</v>
      </c>
      <c r="E154" t="inlineStr">
        <is>
          <t>CL-018</t>
        </is>
      </c>
      <c r="F154" t="inlineStr">
        <is>
          <t>Río Claro Servicios S.R.L.</t>
        </is>
      </c>
      <c r="G154" t="inlineStr">
        <is>
          <t>PyME servicios recurrentes</t>
        </is>
      </c>
      <c r="H154" t="inlineStr">
        <is>
          <t>SRV-002</t>
        </is>
      </c>
      <c r="I154" t="inlineStr">
        <is>
          <t>Soporte operativo</t>
        </is>
      </c>
      <c r="J154" t="inlineStr">
        <is>
          <t>ARS</t>
        </is>
      </c>
      <c r="K154" t="n">
        <v>593000</v>
      </c>
      <c r="L154" t="n">
        <v>593000</v>
      </c>
      <c r="M154" t="n">
        <v>0</v>
      </c>
      <c r="N154" t="n">
        <v>1501</v>
      </c>
      <c r="O154" t="n">
        <v>0</v>
      </c>
      <c r="P154" t="n">
        <v>0</v>
      </c>
      <c r="Q154">
        <f>IF(M134&lt;=0,"Cobrada",IF(L134&gt;0,"Parcial",IF(C134&lt;Resumen!$B$3,"Vencida",IF(C134&lt;=Resumen!$B$3+15,"Por vencer","Pendiente"))))</f>
        <v/>
      </c>
      <c r="R154" t="n">
        <v>0</v>
      </c>
      <c r="S154">
        <f>IF(M134&lt;=0,"Sin prioridad",IF(R134&gt;60,"Alta",IF(R134&gt;30,"Media",IF(C134&lt;=Resumen!$B$3+15,"Media","Baja"))))</f>
        <v/>
      </c>
      <c r="T154" t="inlineStr">
        <is>
          <t>Ana</t>
        </is>
      </c>
      <c r="U154" t="inlineStr">
        <is>
          <t>Sin acción</t>
        </is>
      </c>
      <c r="V154" t="inlineStr">
        <is>
          <t>Sin respuesta del cliente</t>
        </is>
      </c>
      <c r="Y154" t="inlineStr">
        <is>
          <t>2026-T1</t>
        </is>
      </c>
      <c r="Z154">
        <f>IF(AND(M134&gt;0,C134&lt;Resumen!$B$3),"Sí","No")</f>
        <v/>
      </c>
      <c r="AA154">
        <f>IF(AND(L134&gt;0,M134&gt;0),"Sí","No")</f>
        <v/>
      </c>
      <c r="AB154">
        <f>IF(J134="USD","Sí","No")</f>
        <v/>
      </c>
    </row>
    <row r="155">
      <c r="A155" t="inlineStr">
        <is>
          <t>FAC-00160</t>
        </is>
      </c>
      <c r="B155" s="33" t="n">
        <v>46084</v>
      </c>
      <c r="C155" s="33" t="n">
        <v>46114</v>
      </c>
      <c r="E155" t="inlineStr">
        <is>
          <t>CL-008</t>
        </is>
      </c>
      <c r="F155" t="inlineStr">
        <is>
          <t>Faro Administrativo S.A.S.</t>
        </is>
      </c>
      <c r="G155" t="inlineStr">
        <is>
          <t>PyME servicios recurrentes</t>
        </is>
      </c>
      <c r="H155" t="inlineStr">
        <is>
          <t>SRV-002</t>
        </is>
      </c>
      <c r="I155" t="inlineStr">
        <is>
          <t>Soporte operativo</t>
        </is>
      </c>
      <c r="J155" t="inlineStr">
        <is>
          <t>ARS</t>
        </is>
      </c>
      <c r="K155" t="n">
        <v>296000</v>
      </c>
      <c r="L155" t="n">
        <v>0</v>
      </c>
      <c r="M155" t="n">
        <v>0</v>
      </c>
      <c r="N155" t="n">
        <v>1554</v>
      </c>
      <c r="O155" t="n">
        <v>0</v>
      </c>
      <c r="P155" t="n">
        <v>0</v>
      </c>
      <c r="Q155">
        <f>IF(M161&lt;=0,"Cobrada",IF(L161&gt;0,"Parcial",IF(C161&lt;Resumen!$B$3,"Vencida",IF(C161&lt;=Resumen!$B$3+15,"Por vencer","Pendiente"))))</f>
        <v/>
      </c>
      <c r="R155" t="n">
        <v>0</v>
      </c>
      <c r="S155">
        <f>IF(M161&lt;=0,"Sin prioridad",IF(R161&gt;60,"Alta",IF(R161&gt;30,"Media",IF(C161&lt;=Resumen!$B$3+15,"Media","Baja"))))</f>
        <v/>
      </c>
      <c r="T155" t="inlineStr">
        <is>
          <t>Sofía</t>
        </is>
      </c>
      <c r="U155" t="inlineStr">
        <is>
          <t>Enviar recordatorio</t>
        </is>
      </c>
      <c r="V155" t="inlineStr">
        <is>
          <t>Pago prometido para próxima semana</t>
        </is>
      </c>
      <c r="Y155" t="inlineStr">
        <is>
          <t>2026-T1</t>
        </is>
      </c>
      <c r="Z155">
        <f>IF(AND(M161&gt;0,C161&lt;Resumen!$B$3),"Sí","No")</f>
        <v/>
      </c>
      <c r="AA155">
        <f>IF(AND(L161&gt;0,M161&gt;0),"Sí","No")</f>
        <v/>
      </c>
      <c r="AB155">
        <f>IF(J161="USD","Sí","No")</f>
        <v/>
      </c>
    </row>
    <row r="156">
      <c r="A156" t="inlineStr">
        <is>
          <t>FAC-00168</t>
        </is>
      </c>
      <c r="B156" s="33" t="n">
        <v>46089</v>
      </c>
      <c r="C156" s="33" t="n">
        <v>46134</v>
      </c>
      <c r="D156" s="33" t="n">
        <v>46154</v>
      </c>
      <c r="E156" t="inlineStr">
        <is>
          <t>CL-024</t>
        </is>
      </c>
      <c r="F156" t="inlineStr">
        <is>
          <t>Zonda Gestión S.R.L.</t>
        </is>
      </c>
      <c r="G156" t="inlineStr">
        <is>
          <t>PyME servicios recurrentes</t>
        </is>
      </c>
      <c r="H156" t="inlineStr">
        <is>
          <t>SRV-001</t>
        </is>
      </c>
      <c r="I156" t="inlineStr">
        <is>
          <t>Abono mensual administrativo</t>
        </is>
      </c>
      <c r="J156" t="inlineStr">
        <is>
          <t>ARS</t>
        </is>
      </c>
      <c r="K156" t="n">
        <v>403000</v>
      </c>
      <c r="L156" t="n">
        <v>224811.18</v>
      </c>
      <c r="M156" t="n">
        <v>0</v>
      </c>
      <c r="N156" t="n">
        <v>1554</v>
      </c>
      <c r="O156" t="n">
        <v>0</v>
      </c>
      <c r="P156" t="n">
        <v>0</v>
      </c>
      <c r="Q156">
        <f>IF(M169&lt;=0,"Cobrada",IF(L169&gt;0,"Parcial",IF(C169&lt;Resumen!$B$3,"Vencida",IF(C169&lt;=Resumen!$B$3+15,"Por vencer","Pendiente"))))</f>
        <v/>
      </c>
      <c r="R156" t="n">
        <v>0</v>
      </c>
      <c r="S156">
        <f>IF(M169&lt;=0,"Sin prioridad",IF(R169&gt;60,"Alta",IF(R169&gt;30,"Media",IF(C169&lt;=Resumen!$B$3+15,"Media","Baja"))))</f>
        <v/>
      </c>
      <c r="T156" t="inlineStr">
        <is>
          <t>Sofía</t>
        </is>
      </c>
      <c r="U156" t="inlineStr">
        <is>
          <t>Reclamar saldo parcial</t>
        </is>
      </c>
      <c r="Y156" t="inlineStr">
        <is>
          <t>2026-T1</t>
        </is>
      </c>
      <c r="Z156">
        <f>IF(AND(M169&gt;0,C169&lt;Resumen!$B$3),"Sí","No")</f>
        <v/>
      </c>
      <c r="AA156">
        <f>IF(AND(L169&gt;0,M169&gt;0),"Sí","No")</f>
        <v/>
      </c>
      <c r="AB156">
        <f>IF(J169="USD","Sí","No")</f>
        <v/>
      </c>
    </row>
    <row r="157">
      <c r="A157" t="inlineStr">
        <is>
          <t>FAC-00166</t>
        </is>
      </c>
      <c r="B157" s="33" t="n">
        <v>46090</v>
      </c>
      <c r="C157" s="33" t="n">
        <v>46105</v>
      </c>
      <c r="D157" s="33" t="n">
        <v>46105</v>
      </c>
      <c r="E157" t="inlineStr">
        <is>
          <t>CL-004</t>
        </is>
      </c>
      <c r="F157" t="inlineStr">
        <is>
          <t>Base Sur Servicios S.A.S.</t>
        </is>
      </c>
      <c r="G157" t="inlineStr">
        <is>
          <t>PyME servicios recurrentes</t>
        </is>
      </c>
      <c r="H157" t="inlineStr">
        <is>
          <t>SRV-001</t>
        </is>
      </c>
      <c r="I157" t="inlineStr">
        <is>
          <t>Abono mensual administrativo</t>
        </is>
      </c>
      <c r="J157" t="inlineStr">
        <is>
          <t>ARS</t>
        </is>
      </c>
      <c r="K157" t="n">
        <v>931000</v>
      </c>
      <c r="L157" t="n">
        <v>931000</v>
      </c>
      <c r="M157" t="n">
        <v>0</v>
      </c>
      <c r="N157" t="n">
        <v>1554</v>
      </c>
      <c r="O157" t="n">
        <v>0</v>
      </c>
      <c r="P157" t="n">
        <v>0</v>
      </c>
      <c r="Q157">
        <f>IF(M167&lt;=0,"Cobrada",IF(L167&gt;0,"Parcial",IF(C167&lt;Resumen!$B$3,"Vencida",IF(C167&lt;=Resumen!$B$3+15,"Por vencer","Pendiente"))))</f>
        <v/>
      </c>
      <c r="R157" t="n">
        <v>0</v>
      </c>
      <c r="S157">
        <f>IF(M167&lt;=0,"Sin prioridad",IF(R167&gt;60,"Alta",IF(R167&gt;30,"Media",IF(C167&lt;=Resumen!$B$3+15,"Media","Baja"))))</f>
        <v/>
      </c>
      <c r="T157" t="inlineStr">
        <is>
          <t>Ana</t>
        </is>
      </c>
      <c r="U157" t="inlineStr">
        <is>
          <t>Sin acción</t>
        </is>
      </c>
      <c r="V157" t="inlineStr">
        <is>
          <t>Pago prometido para próxima semana</t>
        </is>
      </c>
      <c r="Y157" t="inlineStr">
        <is>
          <t>2026-T1</t>
        </is>
      </c>
      <c r="Z157">
        <f>IF(AND(M167&gt;0,C167&lt;Resumen!$B$3),"Sí","No")</f>
        <v/>
      </c>
      <c r="AA157">
        <f>IF(AND(L167&gt;0,M167&gt;0),"Sí","No")</f>
        <v/>
      </c>
      <c r="AB157">
        <f>IF(J167="USD","Sí","No")</f>
        <v/>
      </c>
    </row>
    <row r="158">
      <c r="A158" t="inlineStr">
        <is>
          <t>FAC-00156</t>
        </is>
      </c>
      <c r="B158" s="33" t="n">
        <v>46095</v>
      </c>
      <c r="C158" s="33" t="n">
        <v>46125</v>
      </c>
      <c r="D158" s="33" t="n">
        <v>46143</v>
      </c>
      <c r="E158" t="inlineStr">
        <is>
          <t>CL-008</t>
        </is>
      </c>
      <c r="F158" t="inlineStr">
        <is>
          <t>Faro Administrativo S.A.S.</t>
        </is>
      </c>
      <c r="G158" t="inlineStr">
        <is>
          <t>PyME servicios recurrentes</t>
        </is>
      </c>
      <c r="H158" t="inlineStr">
        <is>
          <t>SRV-005</t>
        </is>
      </c>
      <c r="I158" t="inlineStr">
        <is>
          <t>Servicio extraordinario puntual</t>
        </is>
      </c>
      <c r="J158" t="inlineStr">
        <is>
          <t>ARS</t>
        </is>
      </c>
      <c r="K158" t="n">
        <v>736000</v>
      </c>
      <c r="L158" t="n">
        <v>736000</v>
      </c>
      <c r="M158" t="n">
        <v>0</v>
      </c>
      <c r="N158" t="n">
        <v>1554</v>
      </c>
      <c r="O158" t="n">
        <v>0</v>
      </c>
      <c r="P158" t="n">
        <v>0</v>
      </c>
      <c r="Q158">
        <f>IF(M157&lt;=0,"Cobrada",IF(L157&gt;0,"Parcial",IF(C157&lt;Resumen!$B$3,"Vencida",IF(C157&lt;=Resumen!$B$3+15,"Por vencer","Pendiente"))))</f>
        <v/>
      </c>
      <c r="R158" t="n">
        <v>0</v>
      </c>
      <c r="S158">
        <f>IF(M157&lt;=0,"Sin prioridad",IF(R157&gt;60,"Alta",IF(R157&gt;30,"Media",IF(C157&lt;=Resumen!$B$3+15,"Media","Baja"))))</f>
        <v/>
      </c>
      <c r="T158" t="inlineStr">
        <is>
          <t>Sofía</t>
        </is>
      </c>
      <c r="U158" t="inlineStr">
        <is>
          <t>Sin acción</t>
        </is>
      </c>
      <c r="V158" t="inlineStr">
        <is>
          <t>Cliente solicita reenvío de factura</t>
        </is>
      </c>
      <c r="Y158" t="inlineStr">
        <is>
          <t>2026-T1</t>
        </is>
      </c>
      <c r="Z158">
        <f>IF(AND(M157&gt;0,C157&lt;Resumen!$B$3),"Sí","No")</f>
        <v/>
      </c>
      <c r="AA158">
        <f>IF(AND(L157&gt;0,M157&gt;0),"Sí","No")</f>
        <v/>
      </c>
      <c r="AB158">
        <f>IF(J157="USD","Sí","No")</f>
        <v/>
      </c>
    </row>
    <row r="159">
      <c r="A159" t="inlineStr">
        <is>
          <t>FAC-00162</t>
        </is>
      </c>
      <c r="B159" s="33" t="n">
        <v>46096</v>
      </c>
      <c r="C159" s="33" t="n">
        <v>46126</v>
      </c>
      <c r="E159" t="inlineStr">
        <is>
          <t>CL-008</t>
        </is>
      </c>
      <c r="F159" t="inlineStr">
        <is>
          <t>Faro Administrativo S.A.S.</t>
        </is>
      </c>
      <c r="G159" t="inlineStr">
        <is>
          <t>PyME servicios recurrentes</t>
        </is>
      </c>
      <c r="H159" t="inlineStr">
        <is>
          <t>SRV-003</t>
        </is>
      </c>
      <c r="I159" t="inlineStr">
        <is>
          <t>Consultoría de gestión</t>
        </is>
      </c>
      <c r="J159" t="inlineStr">
        <is>
          <t>USD</t>
        </is>
      </c>
      <c r="K159" t="n">
        <v>2350</v>
      </c>
      <c r="L159" t="n">
        <v>0</v>
      </c>
      <c r="M159" t="n">
        <v>0</v>
      </c>
      <c r="N159" t="n">
        <v>1554</v>
      </c>
      <c r="O159" t="n">
        <v>0</v>
      </c>
      <c r="P159" t="n">
        <v>0</v>
      </c>
      <c r="Q159">
        <f>IF(M163&lt;=0,"Cobrada",IF(L163&gt;0,"Parcial",IF(C163&lt;Resumen!$B$3,"Vencida",IF(C163&lt;=Resumen!$B$3+15,"Por vencer","Pendiente"))))</f>
        <v/>
      </c>
      <c r="R159" t="n">
        <v>0</v>
      </c>
      <c r="S159">
        <f>IF(M163&lt;=0,"Sin prioridad",IF(R163&gt;60,"Alta",IF(R163&gt;30,"Media",IF(C163&lt;=Resumen!$B$3+15,"Media","Baja"))))</f>
        <v/>
      </c>
      <c r="T159" t="inlineStr">
        <is>
          <t>Sofía</t>
        </is>
      </c>
      <c r="U159" t="inlineStr">
        <is>
          <t>Reenviar factura</t>
        </is>
      </c>
      <c r="V159" t="inlineStr">
        <is>
          <t>Pendiente de confirmación de pago</t>
        </is>
      </c>
      <c r="Y159" t="inlineStr">
        <is>
          <t>2026-T1</t>
        </is>
      </c>
      <c r="Z159">
        <f>IF(AND(M163&gt;0,C163&lt;Resumen!$B$3),"Sí","No")</f>
        <v/>
      </c>
      <c r="AA159">
        <f>IF(AND(L163&gt;0,M163&gt;0),"Sí","No")</f>
        <v/>
      </c>
      <c r="AB159">
        <f>IF(J163="USD","Sí","No")</f>
        <v/>
      </c>
    </row>
    <row r="160">
      <c r="A160" t="inlineStr">
        <is>
          <t>FAC-00159</t>
        </is>
      </c>
      <c r="B160" s="33" t="n">
        <v>46097</v>
      </c>
      <c r="C160" s="33" t="n">
        <v>46142</v>
      </c>
      <c r="D160" s="33" t="n">
        <v>46159</v>
      </c>
      <c r="E160" t="inlineStr">
        <is>
          <t>CL-016</t>
        </is>
      </c>
      <c r="F160" t="inlineStr">
        <is>
          <t>Patagonia Gestión S.R.L.</t>
        </is>
      </c>
      <c r="G160" t="inlineStr">
        <is>
          <t>PyME servicios recurrentes</t>
        </is>
      </c>
      <c r="H160" t="inlineStr">
        <is>
          <t>SRV-002</t>
        </is>
      </c>
      <c r="I160" t="inlineStr">
        <is>
          <t>Soporte operativo</t>
        </is>
      </c>
      <c r="J160" t="inlineStr">
        <is>
          <t>USD</t>
        </is>
      </c>
      <c r="K160" t="n">
        <v>600</v>
      </c>
      <c r="L160" t="n">
        <v>600</v>
      </c>
      <c r="M160" t="n">
        <v>0</v>
      </c>
      <c r="N160" t="n">
        <v>1554</v>
      </c>
      <c r="O160" t="n">
        <v>0</v>
      </c>
      <c r="P160" t="n">
        <v>0</v>
      </c>
      <c r="Q160">
        <f>IF(M160&lt;=0,"Cobrada",IF(L160&gt;0,"Parcial",IF(C160&lt;Resumen!$B$3,"Vencida",IF(C160&lt;=Resumen!$B$3+15,"Por vencer","Pendiente"))))</f>
        <v/>
      </c>
      <c r="R160" t="n">
        <v>0</v>
      </c>
      <c r="S160">
        <f>IF(M160&lt;=0,"Sin prioridad",IF(R160&gt;60,"Alta",IF(R160&gt;30,"Media",IF(C160&lt;=Resumen!$B$3+15,"Media","Baja"))))</f>
        <v/>
      </c>
      <c r="T160" t="inlineStr">
        <is>
          <t>Matías</t>
        </is>
      </c>
      <c r="U160" t="inlineStr">
        <is>
          <t>Sin acción</t>
        </is>
      </c>
      <c r="Y160" t="inlineStr">
        <is>
          <t>2026-T1</t>
        </is>
      </c>
      <c r="Z160">
        <f>IF(AND(M160&gt;0,C160&lt;Resumen!$B$3),"Sí","No")</f>
        <v/>
      </c>
      <c r="AA160">
        <f>IF(AND(L160&gt;0,M160&gt;0),"Sí","No")</f>
        <v/>
      </c>
      <c r="AB160">
        <f>IF(J160="USD","Sí","No")</f>
        <v/>
      </c>
    </row>
    <row r="161">
      <c r="A161" t="inlineStr">
        <is>
          <t>FAC-00170</t>
        </is>
      </c>
      <c r="B161" s="33" t="n">
        <v>46098</v>
      </c>
      <c r="C161" s="33" t="n">
        <v>46113</v>
      </c>
      <c r="D161" s="33" t="n">
        <v>46157</v>
      </c>
      <c r="E161" t="inlineStr">
        <is>
          <t>CL-020</t>
        </is>
      </c>
      <c r="F161" t="inlineStr">
        <is>
          <t>Tango Gestión S.R.L.</t>
        </is>
      </c>
      <c r="G161" t="inlineStr">
        <is>
          <t>PyME servicios recurrentes</t>
        </is>
      </c>
      <c r="H161" t="inlineStr">
        <is>
          <t>SRV-003</t>
        </is>
      </c>
      <c r="I161" t="inlineStr">
        <is>
          <t>Consultoría de gestión</t>
        </is>
      </c>
      <c r="J161" t="inlineStr">
        <is>
          <t>ARS</t>
        </is>
      </c>
      <c r="K161" t="n">
        <v>1799000</v>
      </c>
      <c r="L161" t="n">
        <v>564209.37</v>
      </c>
      <c r="M161" t="n">
        <v>0</v>
      </c>
      <c r="N161" t="n">
        <v>1554</v>
      </c>
      <c r="O161" t="n">
        <v>0</v>
      </c>
      <c r="P161" t="n">
        <v>0</v>
      </c>
      <c r="Q161">
        <f>IF(M171&lt;=0,"Cobrada",IF(L171&gt;0,"Parcial",IF(C171&lt;Resumen!$B$3,"Vencida",IF(C171&lt;=Resumen!$B$3+15,"Por vencer","Pendiente"))))</f>
        <v/>
      </c>
      <c r="R161" t="n">
        <v>0</v>
      </c>
      <c r="S161">
        <f>IF(M171&lt;=0,"Sin prioridad",IF(R171&gt;60,"Alta",IF(R171&gt;30,"Media",IF(C171&lt;=Resumen!$B$3+15,"Media","Baja"))))</f>
        <v/>
      </c>
      <c r="T161" t="inlineStr">
        <is>
          <t>Ana</t>
        </is>
      </c>
      <c r="U161" t="inlineStr">
        <is>
          <t>Reclamar saldo parcial</t>
        </is>
      </c>
      <c r="V161" t="inlineStr">
        <is>
          <t>Cliente solicita reenvío de factura</t>
        </is>
      </c>
      <c r="Y161" t="inlineStr">
        <is>
          <t>2026-T1</t>
        </is>
      </c>
      <c r="Z161">
        <f>IF(AND(M171&gt;0,C171&lt;Resumen!$B$3),"Sí","No")</f>
        <v/>
      </c>
      <c r="AA161">
        <f>IF(AND(L171&gt;0,M171&gt;0),"Sí","No")</f>
        <v/>
      </c>
      <c r="AB161">
        <f>IF(J171="USD","Sí","No")</f>
        <v/>
      </c>
    </row>
    <row r="162">
      <c r="A162" t="inlineStr">
        <is>
          <t>FAC-00171</t>
        </is>
      </c>
      <c r="B162" s="33" t="n">
        <v>46098</v>
      </c>
      <c r="C162" s="33" t="n">
        <v>46128</v>
      </c>
      <c r="D162" s="33" t="n">
        <v>46145</v>
      </c>
      <c r="E162" t="inlineStr">
        <is>
          <t>CL-019</t>
        </is>
      </c>
      <c r="F162" t="inlineStr">
        <is>
          <t>Sierra Norte S.A.S.</t>
        </is>
      </c>
      <c r="G162" t="inlineStr">
        <is>
          <t>PyME servicios recurrentes</t>
        </is>
      </c>
      <c r="H162" t="inlineStr">
        <is>
          <t>SRV-004</t>
        </is>
      </c>
      <c r="I162" t="inlineStr">
        <is>
          <t>Reporte mensual / tablero de control</t>
        </is>
      </c>
      <c r="J162" t="inlineStr">
        <is>
          <t>USD</t>
        </is>
      </c>
      <c r="K162" t="n">
        <v>600</v>
      </c>
      <c r="L162" t="n">
        <v>600</v>
      </c>
      <c r="M162" t="n">
        <v>0</v>
      </c>
      <c r="N162" t="n">
        <v>1554</v>
      </c>
      <c r="O162" t="n">
        <v>0</v>
      </c>
      <c r="P162" t="n">
        <v>0</v>
      </c>
      <c r="Q162">
        <f>IF(M172&lt;=0,"Cobrada",IF(L172&gt;0,"Parcial",IF(C172&lt;Resumen!$B$3,"Vencida",IF(C172&lt;=Resumen!$B$3+15,"Por vencer","Pendiente"))))</f>
        <v/>
      </c>
      <c r="R162" t="n">
        <v>0</v>
      </c>
      <c r="S162">
        <f>IF(M172&lt;=0,"Sin prioridad",IF(R172&gt;60,"Alta",IF(R172&gt;30,"Media",IF(C172&lt;=Resumen!$B$3+15,"Media","Baja"))))</f>
        <v/>
      </c>
      <c r="T162" t="inlineStr">
        <is>
          <t>Carlos</t>
        </is>
      </c>
      <c r="U162" t="inlineStr">
        <is>
          <t>Sin acción</t>
        </is>
      </c>
      <c r="V162" t="inlineStr">
        <is>
          <t>Sin respuesta del cliente</t>
        </is>
      </c>
      <c r="Y162" t="inlineStr">
        <is>
          <t>2026-T1</t>
        </is>
      </c>
      <c r="Z162">
        <f>IF(AND(M172&gt;0,C172&lt;Resumen!$B$3),"Sí","No")</f>
        <v/>
      </c>
      <c r="AA162">
        <f>IF(AND(L172&gt;0,M172&gt;0),"Sí","No")</f>
        <v/>
      </c>
      <c r="AB162">
        <f>IF(J172="USD","Sí","No")</f>
        <v/>
      </c>
    </row>
    <row r="163">
      <c r="A163" t="inlineStr">
        <is>
          <t>FAC-00163</t>
        </is>
      </c>
      <c r="B163" s="33" t="n">
        <v>46102</v>
      </c>
      <c r="C163" s="33" t="n">
        <v>46147</v>
      </c>
      <c r="D163" s="33" t="n">
        <v>46152</v>
      </c>
      <c r="E163" t="inlineStr">
        <is>
          <t>CL-014</t>
        </is>
      </c>
      <c r="F163" t="inlineStr">
        <is>
          <t>Norte Gestión Integral S.R.L.</t>
        </is>
      </c>
      <c r="G163" t="inlineStr">
        <is>
          <t>PyME servicios recurrentes</t>
        </is>
      </c>
      <c r="H163" t="inlineStr">
        <is>
          <t>SRV-001</t>
        </is>
      </c>
      <c r="I163" t="inlineStr">
        <is>
          <t>Abono mensual administrativo</t>
        </is>
      </c>
      <c r="J163" t="inlineStr">
        <is>
          <t>ARS</t>
        </is>
      </c>
      <c r="K163" t="n">
        <v>523000</v>
      </c>
      <c r="L163" t="n">
        <v>523000</v>
      </c>
      <c r="M163" t="n">
        <v>0</v>
      </c>
      <c r="N163" t="n">
        <v>1554</v>
      </c>
      <c r="O163" t="n">
        <v>0</v>
      </c>
      <c r="P163" t="n">
        <v>0</v>
      </c>
      <c r="Q163">
        <f>IF(M164&lt;=0,"Cobrada",IF(L164&gt;0,"Parcial",IF(C164&lt;Resumen!$B$3,"Vencida",IF(C164&lt;=Resumen!$B$3+15,"Por vencer","Pendiente"))))</f>
        <v/>
      </c>
      <c r="R163" t="n">
        <v>0</v>
      </c>
      <c r="S163">
        <f>IF(M164&lt;=0,"Sin prioridad",IF(R164&gt;60,"Alta",IF(R164&gt;30,"Media",IF(C164&lt;=Resumen!$B$3+15,"Media","Baja"))))</f>
        <v/>
      </c>
      <c r="T163" t="inlineStr">
        <is>
          <t>Carlos</t>
        </is>
      </c>
      <c r="U163" t="inlineStr">
        <is>
          <t>Sin acción</t>
        </is>
      </c>
      <c r="Y163" t="inlineStr">
        <is>
          <t>2026-T1</t>
        </is>
      </c>
      <c r="Z163">
        <f>IF(AND(M164&gt;0,C164&lt;Resumen!$B$3),"Sí","No")</f>
        <v/>
      </c>
      <c r="AA163">
        <f>IF(AND(L164&gt;0,M164&gt;0),"Sí","No")</f>
        <v/>
      </c>
      <c r="AB163">
        <f>IF(J164="USD","Sí","No")</f>
        <v/>
      </c>
    </row>
    <row r="164">
      <c r="A164" t="inlineStr">
        <is>
          <t>FAC-00154</t>
        </is>
      </c>
      <c r="B164" s="33" t="n">
        <v>46103</v>
      </c>
      <c r="C164" s="33" t="n">
        <v>46118</v>
      </c>
      <c r="D164" s="33" t="n">
        <v>46126</v>
      </c>
      <c r="E164" t="inlineStr">
        <is>
          <t>CL-015</t>
        </is>
      </c>
      <c r="F164" t="inlineStr">
        <is>
          <t>Órbita Servicios S.A.S.</t>
        </is>
      </c>
      <c r="G164" t="inlineStr">
        <is>
          <t>PyME servicios recurrentes</t>
        </is>
      </c>
      <c r="H164" t="inlineStr">
        <is>
          <t>SRV-001</t>
        </is>
      </c>
      <c r="I164" t="inlineStr">
        <is>
          <t>Abono mensual administrativo</t>
        </is>
      </c>
      <c r="J164" t="inlineStr">
        <is>
          <t>ARS</t>
        </is>
      </c>
      <c r="K164" t="n">
        <v>562000</v>
      </c>
      <c r="L164" t="n">
        <v>562000</v>
      </c>
      <c r="M164" t="n">
        <v>0</v>
      </c>
      <c r="N164" t="n">
        <v>1554</v>
      </c>
      <c r="O164" t="n">
        <v>0</v>
      </c>
      <c r="P164" t="n">
        <v>0</v>
      </c>
      <c r="Q164">
        <f>IF(M155&lt;=0,"Cobrada",IF(L155&gt;0,"Parcial",IF(C155&lt;Resumen!$B$3,"Vencida",IF(C155&lt;=Resumen!$B$3+15,"Por vencer","Pendiente"))))</f>
        <v/>
      </c>
      <c r="R164" t="n">
        <v>0</v>
      </c>
      <c r="S164">
        <f>IF(M155&lt;=0,"Sin prioridad",IF(R155&gt;60,"Alta",IF(R155&gt;30,"Media",IF(C155&lt;=Resumen!$B$3+15,"Media","Baja"))))</f>
        <v/>
      </c>
      <c r="T164" t="inlineStr">
        <is>
          <t>Matías</t>
        </is>
      </c>
      <c r="U164" t="inlineStr">
        <is>
          <t>Sin acción</t>
        </is>
      </c>
      <c r="V164" t="inlineStr">
        <is>
          <t>Cliente solicita reenvío de factura</t>
        </is>
      </c>
      <c r="Y164" t="inlineStr">
        <is>
          <t>2026-T1</t>
        </is>
      </c>
      <c r="Z164">
        <f>IF(AND(M155&gt;0,C155&lt;Resumen!$B$3),"Sí","No")</f>
        <v/>
      </c>
      <c r="AA164">
        <f>IF(AND(L155&gt;0,M155&gt;0),"Sí","No")</f>
        <v/>
      </c>
      <c r="AB164">
        <f>IF(J155="USD","Sí","No")</f>
        <v/>
      </c>
    </row>
    <row r="165">
      <c r="A165" t="inlineStr">
        <is>
          <t>FAC-00167</t>
        </is>
      </c>
      <c r="B165" s="33" t="n">
        <v>46103</v>
      </c>
      <c r="C165" s="33" t="n">
        <v>46148</v>
      </c>
      <c r="D165" s="33" t="n">
        <v>46152</v>
      </c>
      <c r="E165" t="inlineStr">
        <is>
          <t>CL-022</t>
        </is>
      </c>
      <c r="F165" t="inlineStr">
        <is>
          <t>Valle Operativo S.R.L.</t>
        </is>
      </c>
      <c r="G165" t="inlineStr">
        <is>
          <t>PyME servicios recurrentes</t>
        </is>
      </c>
      <c r="H165" t="inlineStr">
        <is>
          <t>SRV-002</t>
        </is>
      </c>
      <c r="I165" t="inlineStr">
        <is>
          <t>Soporte operativo</t>
        </is>
      </c>
      <c r="J165" t="inlineStr">
        <is>
          <t>USD</t>
        </is>
      </c>
      <c r="K165" t="n">
        <v>400</v>
      </c>
      <c r="L165" t="n">
        <v>400</v>
      </c>
      <c r="M165" t="n">
        <v>0</v>
      </c>
      <c r="N165" t="n">
        <v>1554</v>
      </c>
      <c r="O165" t="n">
        <v>0</v>
      </c>
      <c r="P165" t="n">
        <v>0</v>
      </c>
      <c r="Q165">
        <f>IF(M168&lt;=0,"Cobrada",IF(L168&gt;0,"Parcial",IF(C168&lt;Resumen!$B$3,"Vencida",IF(C168&lt;=Resumen!$B$3+15,"Por vencer","Pendiente"))))</f>
        <v/>
      </c>
      <c r="R165" t="n">
        <v>0</v>
      </c>
      <c r="S165">
        <f>IF(M168&lt;=0,"Sin prioridad",IF(R168&gt;60,"Alta",IF(R168&gt;30,"Media",IF(C168&lt;=Resumen!$B$3+15,"Media","Baja"))))</f>
        <v/>
      </c>
      <c r="T165" t="inlineStr">
        <is>
          <t>Ana</t>
        </is>
      </c>
      <c r="U165" t="inlineStr">
        <is>
          <t>Sin acción</t>
        </is>
      </c>
      <c r="V165" t="inlineStr">
        <is>
          <t>En seguimiento administrativo</t>
        </is>
      </c>
      <c r="Y165" t="inlineStr">
        <is>
          <t>2026-T1</t>
        </is>
      </c>
      <c r="Z165">
        <f>IF(AND(M168&gt;0,C168&lt;Resumen!$B$3),"Sí","No")</f>
        <v/>
      </c>
      <c r="AA165">
        <f>IF(AND(L168&gt;0,M168&gt;0),"Sí","No")</f>
        <v/>
      </c>
      <c r="AB165">
        <f>IF(J168="USD","Sí","No")</f>
        <v/>
      </c>
    </row>
    <row r="166">
      <c r="A166" t="inlineStr">
        <is>
          <t>FAC-00169</t>
        </is>
      </c>
      <c r="B166" s="33" t="n">
        <v>46104</v>
      </c>
      <c r="C166" s="33" t="n">
        <v>46134</v>
      </c>
      <c r="D166" s="33" t="n">
        <v>46135</v>
      </c>
      <c r="E166" t="inlineStr">
        <is>
          <t>CL-009</t>
        </is>
      </c>
      <c r="F166" t="inlineStr">
        <is>
          <t>Grupo Nexo PyME S.A.</t>
        </is>
      </c>
      <c r="G166" t="inlineStr">
        <is>
          <t>PyME servicios recurrentes</t>
        </is>
      </c>
      <c r="H166" t="inlineStr">
        <is>
          <t>SRV-003</t>
        </is>
      </c>
      <c r="I166" t="inlineStr">
        <is>
          <t>Consultoría de gestión</t>
        </is>
      </c>
      <c r="J166" t="inlineStr">
        <is>
          <t>USD</t>
        </is>
      </c>
      <c r="K166" t="n">
        <v>2400</v>
      </c>
      <c r="L166" t="n">
        <v>2400</v>
      </c>
      <c r="M166" t="n">
        <v>0</v>
      </c>
      <c r="N166" t="n">
        <v>1554</v>
      </c>
      <c r="O166" t="n">
        <v>0</v>
      </c>
      <c r="P166" t="n">
        <v>0</v>
      </c>
      <c r="Q166">
        <f>IF(M170&lt;=0,"Cobrada",IF(L170&gt;0,"Parcial",IF(C170&lt;Resumen!$B$3,"Vencida",IF(C170&lt;=Resumen!$B$3+15,"Por vencer","Pendiente"))))</f>
        <v/>
      </c>
      <c r="R166" t="n">
        <v>0</v>
      </c>
      <c r="S166">
        <f>IF(M170&lt;=0,"Sin prioridad",IF(R170&gt;60,"Alta",IF(R170&gt;30,"Media",IF(C170&lt;=Resumen!$B$3+15,"Media","Baja"))))</f>
        <v/>
      </c>
      <c r="T166" t="inlineStr">
        <is>
          <t>Ana</t>
        </is>
      </c>
      <c r="U166" t="inlineStr">
        <is>
          <t>Sin acción</t>
        </is>
      </c>
      <c r="Y166" t="inlineStr">
        <is>
          <t>2026-T1</t>
        </is>
      </c>
      <c r="Z166">
        <f>IF(AND(M170&gt;0,C170&lt;Resumen!$B$3),"Sí","No")</f>
        <v/>
      </c>
      <c r="AA166">
        <f>IF(AND(L170&gt;0,M170&gt;0),"Sí","No")</f>
        <v/>
      </c>
      <c r="AB166">
        <f>IF(J170="USD","Sí","No")</f>
        <v/>
      </c>
    </row>
    <row r="167">
      <c r="A167" t="inlineStr">
        <is>
          <t>FAC-00165</t>
        </is>
      </c>
      <c r="B167" s="33" t="n">
        <v>46106</v>
      </c>
      <c r="C167" s="33" t="n">
        <v>46151</v>
      </c>
      <c r="D167" s="33" t="n">
        <v>46155</v>
      </c>
      <c r="E167" t="inlineStr">
        <is>
          <t>CL-007</t>
        </is>
      </c>
      <c r="F167" t="inlineStr">
        <is>
          <t>Eje Comercial S.R.L.</t>
        </is>
      </c>
      <c r="G167" t="inlineStr">
        <is>
          <t>PyME servicios recurrentes</t>
        </is>
      </c>
      <c r="H167" t="inlineStr">
        <is>
          <t>SRV-001</t>
        </is>
      </c>
      <c r="I167" t="inlineStr">
        <is>
          <t>Abono mensual administrativo</t>
        </is>
      </c>
      <c r="J167" t="inlineStr">
        <is>
          <t>ARS</t>
        </is>
      </c>
      <c r="K167" t="n">
        <v>508000</v>
      </c>
      <c r="L167" t="n">
        <v>394389.94</v>
      </c>
      <c r="M167" t="n">
        <v>0</v>
      </c>
      <c r="N167" t="n">
        <v>1554</v>
      </c>
      <c r="O167" t="n">
        <v>0</v>
      </c>
      <c r="P167" t="n">
        <v>0</v>
      </c>
      <c r="Q167">
        <f>IF(M166&lt;=0,"Cobrada",IF(L166&gt;0,"Parcial",IF(C166&lt;Resumen!$B$3,"Vencida",IF(C166&lt;=Resumen!$B$3+15,"Por vencer","Pendiente"))))</f>
        <v/>
      </c>
      <c r="R167" t="n">
        <v>0</v>
      </c>
      <c r="S167">
        <f>IF(M166&lt;=0,"Sin prioridad",IF(R166&gt;60,"Alta",IF(R166&gt;30,"Media",IF(C166&lt;=Resumen!$B$3+15,"Media","Baja"))))</f>
        <v/>
      </c>
      <c r="T167" t="inlineStr">
        <is>
          <t>Matías</t>
        </is>
      </c>
      <c r="U167" t="inlineStr">
        <is>
          <t>Reclamar saldo parcial</t>
        </is>
      </c>
      <c r="V167" t="inlineStr">
        <is>
          <t>Cliente solicita reenvío de factura</t>
        </is>
      </c>
      <c r="Y167" t="inlineStr">
        <is>
          <t>2026-T1</t>
        </is>
      </c>
      <c r="Z167">
        <f>IF(AND(M166&gt;0,C166&lt;Resumen!$B$3),"Sí","No")</f>
        <v/>
      </c>
      <c r="AA167">
        <f>IF(AND(L166&gt;0,M166&gt;0),"Sí","No")</f>
        <v/>
      </c>
      <c r="AB167">
        <f>IF(J166="USD","Sí","No")</f>
        <v/>
      </c>
    </row>
    <row r="168">
      <c r="A168" t="inlineStr">
        <is>
          <t>FAC-00161</t>
        </is>
      </c>
      <c r="B168" s="33" t="n">
        <v>46107</v>
      </c>
      <c r="C168" s="33" t="n">
        <v>46152</v>
      </c>
      <c r="E168" t="inlineStr">
        <is>
          <t>CL-024</t>
        </is>
      </c>
      <c r="F168" t="inlineStr">
        <is>
          <t>Zonda Gestión S.R.L.</t>
        </is>
      </c>
      <c r="G168" t="inlineStr">
        <is>
          <t>PyME servicios recurrentes</t>
        </is>
      </c>
      <c r="H168" t="inlineStr">
        <is>
          <t>SRV-004</t>
        </is>
      </c>
      <c r="I168" t="inlineStr">
        <is>
          <t>Reporte mensual / tablero de control</t>
        </is>
      </c>
      <c r="J168" t="inlineStr">
        <is>
          <t>ARS</t>
        </is>
      </c>
      <c r="K168" t="n">
        <v>1223000</v>
      </c>
      <c r="L168" t="n">
        <v>0</v>
      </c>
      <c r="M168" t="n">
        <v>0</v>
      </c>
      <c r="N168" t="n">
        <v>1554</v>
      </c>
      <c r="O168" t="n">
        <v>0</v>
      </c>
      <c r="P168" t="n">
        <v>0</v>
      </c>
      <c r="Q168">
        <f>IF(M162&lt;=0,"Cobrada",IF(L162&gt;0,"Parcial",IF(C162&lt;Resumen!$B$3,"Vencida",IF(C162&lt;=Resumen!$B$3+15,"Por vencer","Pendiente"))))</f>
        <v/>
      </c>
      <c r="R168" t="n">
        <v>0</v>
      </c>
      <c r="S168">
        <f>IF(M162&lt;=0,"Sin prioridad",IF(R162&gt;60,"Alta",IF(R162&gt;30,"Media",IF(C162&lt;=Resumen!$B$3+15,"Media","Baja"))))</f>
        <v/>
      </c>
      <c r="T168" t="inlineStr">
        <is>
          <t>Sofía</t>
        </is>
      </c>
      <c r="U168" t="inlineStr">
        <is>
          <t>Reenviar factura</t>
        </is>
      </c>
      <c r="Y168" t="inlineStr">
        <is>
          <t>2026-T1</t>
        </is>
      </c>
      <c r="Z168">
        <f>IF(AND(M162&gt;0,C162&lt;Resumen!$B$3),"Sí","No")</f>
        <v/>
      </c>
      <c r="AA168">
        <f>IF(AND(L162&gt;0,M162&gt;0),"Sí","No")</f>
        <v/>
      </c>
      <c r="AB168">
        <f>IF(J162="USD","Sí","No")</f>
        <v/>
      </c>
    </row>
    <row r="169">
      <c r="A169" t="inlineStr">
        <is>
          <t>FAC-00164</t>
        </is>
      </c>
      <c r="B169" s="33" t="n">
        <v>46107</v>
      </c>
      <c r="C169" s="33" t="n">
        <v>46122</v>
      </c>
      <c r="D169" s="33" t="n">
        <v>46126</v>
      </c>
      <c r="E169" t="inlineStr">
        <is>
          <t>CL-001</t>
        </is>
      </c>
      <c r="F169" t="inlineStr">
        <is>
          <t>Altos del Centro S.R.L.</t>
        </is>
      </c>
      <c r="G169" t="inlineStr">
        <is>
          <t>PyME servicios recurrentes</t>
        </is>
      </c>
      <c r="H169" t="inlineStr">
        <is>
          <t>SRV-003</t>
        </is>
      </c>
      <c r="I169" t="inlineStr">
        <is>
          <t>Consultoría de gestión</t>
        </is>
      </c>
      <c r="J169" t="inlineStr">
        <is>
          <t>USD</t>
        </is>
      </c>
      <c r="K169" t="n">
        <v>2250</v>
      </c>
      <c r="L169" t="n">
        <v>2250</v>
      </c>
      <c r="M169" t="n">
        <v>0</v>
      </c>
      <c r="N169" t="n">
        <v>1554</v>
      </c>
      <c r="O169" t="n">
        <v>0</v>
      </c>
      <c r="P169" t="n">
        <v>0</v>
      </c>
      <c r="Q169">
        <f>IF(M165&lt;=0,"Cobrada",IF(L165&gt;0,"Parcial",IF(C165&lt;Resumen!$B$3,"Vencida",IF(C165&lt;=Resumen!$B$3+15,"Por vencer","Pendiente"))))</f>
        <v/>
      </c>
      <c r="R169" t="n">
        <v>0</v>
      </c>
      <c r="S169">
        <f>IF(M165&lt;=0,"Sin prioridad",IF(R165&gt;60,"Alta",IF(R165&gt;30,"Media",IF(C165&lt;=Resumen!$B$3+15,"Media","Baja"))))</f>
        <v/>
      </c>
      <c r="T169" t="inlineStr">
        <is>
          <t>Carlos</t>
        </is>
      </c>
      <c r="U169" t="inlineStr">
        <is>
          <t>Sin acción</t>
        </is>
      </c>
      <c r="V169" t="inlineStr">
        <is>
          <t>Pago prometido para próxima semana</t>
        </is>
      </c>
      <c r="Y169" t="inlineStr">
        <is>
          <t>2026-T1</t>
        </is>
      </c>
      <c r="Z169">
        <f>IF(AND(M165&gt;0,C165&lt;Resumen!$B$3),"Sí","No")</f>
        <v/>
      </c>
      <c r="AA169">
        <f>IF(AND(L165&gt;0,M165&gt;0),"Sí","No")</f>
        <v/>
      </c>
      <c r="AB169">
        <f>IF(J165="USD","Sí","No")</f>
        <v/>
      </c>
    </row>
    <row r="170">
      <c r="A170" t="inlineStr">
        <is>
          <t>FAC-00157</t>
        </is>
      </c>
      <c r="B170" s="33" t="n">
        <v>46108</v>
      </c>
      <c r="C170" s="33" t="n">
        <v>46138</v>
      </c>
      <c r="D170" s="33" t="n">
        <v>46136</v>
      </c>
      <c r="E170" t="inlineStr">
        <is>
          <t>CL-002</t>
        </is>
      </c>
      <c r="F170" t="inlineStr">
        <is>
          <t>Andes Gestión S.A.</t>
        </is>
      </c>
      <c r="G170" t="inlineStr">
        <is>
          <t>PyME servicios recurrentes</t>
        </is>
      </c>
      <c r="H170" t="inlineStr">
        <is>
          <t>SRV-002</t>
        </is>
      </c>
      <c r="I170" t="inlineStr">
        <is>
          <t>Soporte operativo</t>
        </is>
      </c>
      <c r="J170" t="inlineStr">
        <is>
          <t>ARS</t>
        </is>
      </c>
      <c r="K170" t="n">
        <v>426000</v>
      </c>
      <c r="L170" t="n">
        <v>426000</v>
      </c>
      <c r="M170" t="n">
        <v>0</v>
      </c>
      <c r="N170" t="n">
        <v>1554</v>
      </c>
      <c r="O170" t="n">
        <v>0</v>
      </c>
      <c r="P170" t="n">
        <v>0</v>
      </c>
      <c r="Q170">
        <f>IF(M158&lt;=0,"Cobrada",IF(L158&gt;0,"Parcial",IF(C158&lt;Resumen!$B$3,"Vencida",IF(C158&lt;=Resumen!$B$3+15,"Por vencer","Pendiente"))))</f>
        <v/>
      </c>
      <c r="R170" t="n">
        <v>0</v>
      </c>
      <c r="S170">
        <f>IF(M158&lt;=0,"Sin prioridad",IF(R158&gt;60,"Alta",IF(R158&gt;30,"Media",IF(C158&lt;=Resumen!$B$3+15,"Media","Baja"))))</f>
        <v/>
      </c>
      <c r="T170" t="inlineStr">
        <is>
          <t>Matías</t>
        </is>
      </c>
      <c r="U170" t="inlineStr">
        <is>
          <t>Sin acción</t>
        </is>
      </c>
      <c r="V170" t="inlineStr">
        <is>
          <t>En seguimiento administrativo</t>
        </is>
      </c>
      <c r="Y170" t="inlineStr">
        <is>
          <t>2026-T1</t>
        </is>
      </c>
      <c r="Z170">
        <f>IF(AND(M158&gt;0,C158&lt;Resumen!$B$3),"Sí","No")</f>
        <v/>
      </c>
      <c r="AA170">
        <f>IF(AND(L158&gt;0,M158&gt;0),"Sí","No")</f>
        <v/>
      </c>
      <c r="AB170">
        <f>IF(J158="USD","Sí","No")</f>
        <v/>
      </c>
    </row>
    <row r="171">
      <c r="A171" t="inlineStr">
        <is>
          <t>FAC-00155</t>
        </is>
      </c>
      <c r="B171" s="33" t="n">
        <v>46109</v>
      </c>
      <c r="C171" s="33" t="n">
        <v>46124</v>
      </c>
      <c r="D171" s="33" t="n">
        <v>46136</v>
      </c>
      <c r="E171" t="inlineStr">
        <is>
          <t>CL-023</t>
        </is>
      </c>
      <c r="F171" t="inlineStr">
        <is>
          <t>Vector Administración S.A.S.</t>
        </is>
      </c>
      <c r="G171" t="inlineStr">
        <is>
          <t>PyME servicios recurrentes</t>
        </is>
      </c>
      <c r="H171" t="inlineStr">
        <is>
          <t>SRV-002</t>
        </is>
      </c>
      <c r="I171" t="inlineStr">
        <is>
          <t>Soporte operativo</t>
        </is>
      </c>
      <c r="J171" t="inlineStr">
        <is>
          <t>USD</t>
        </is>
      </c>
      <c r="K171" t="n">
        <v>600</v>
      </c>
      <c r="L171" t="n">
        <v>600</v>
      </c>
      <c r="M171" t="n">
        <v>0</v>
      </c>
      <c r="N171" t="n">
        <v>1554</v>
      </c>
      <c r="O171" t="n">
        <v>0</v>
      </c>
      <c r="P171" t="n">
        <v>0</v>
      </c>
      <c r="Q171">
        <f>IF(M156&lt;=0,"Cobrada",IF(L156&gt;0,"Parcial",IF(C156&lt;Resumen!$B$3,"Vencida",IF(C156&lt;=Resumen!$B$3+15,"Por vencer","Pendiente"))))</f>
        <v/>
      </c>
      <c r="R171" t="n">
        <v>0</v>
      </c>
      <c r="S171">
        <f>IF(M156&lt;=0,"Sin prioridad",IF(R156&gt;60,"Alta",IF(R156&gt;30,"Media",IF(C156&lt;=Resumen!$B$3+15,"Media","Baja"))))</f>
        <v/>
      </c>
      <c r="T171" t="inlineStr">
        <is>
          <t>Ana</t>
        </is>
      </c>
      <c r="U171" t="inlineStr">
        <is>
          <t>Sin acción</t>
        </is>
      </c>
      <c r="V171" t="inlineStr">
        <is>
          <t>Pendiente de confirmación de pago</t>
        </is>
      </c>
      <c r="Y171" t="inlineStr">
        <is>
          <t>2026-T1</t>
        </is>
      </c>
      <c r="Z171">
        <f>IF(AND(M156&gt;0,C156&lt;Resumen!$B$3),"Sí","No")</f>
        <v/>
      </c>
      <c r="AA171">
        <f>IF(AND(L156&gt;0,M156&gt;0),"Sí","No")</f>
        <v/>
      </c>
      <c r="AB171">
        <f>IF(J156="USD","Sí","No")</f>
        <v/>
      </c>
    </row>
    <row r="172">
      <c r="A172" t="inlineStr">
        <is>
          <t>FAC-00158</t>
        </is>
      </c>
      <c r="B172" s="33" t="n">
        <v>46109</v>
      </c>
      <c r="C172" s="33" t="n">
        <v>46124</v>
      </c>
      <c r="D172" s="33" t="n">
        <v>46128</v>
      </c>
      <c r="E172" t="inlineStr">
        <is>
          <t>CL-015</t>
        </is>
      </c>
      <c r="F172" t="inlineStr">
        <is>
          <t>Órbita Servicios S.A.S.</t>
        </is>
      </c>
      <c r="G172" t="inlineStr">
        <is>
          <t>PyME servicios recurrentes</t>
        </is>
      </c>
      <c r="H172" t="inlineStr">
        <is>
          <t>SRV-003</t>
        </is>
      </c>
      <c r="I172" t="inlineStr">
        <is>
          <t>Consultoría de gestión</t>
        </is>
      </c>
      <c r="J172" t="inlineStr">
        <is>
          <t>USD</t>
        </is>
      </c>
      <c r="K172" t="n">
        <v>600</v>
      </c>
      <c r="L172" t="n">
        <v>600</v>
      </c>
      <c r="M172" t="n">
        <v>0</v>
      </c>
      <c r="N172" t="n">
        <v>1554</v>
      </c>
      <c r="O172" t="n">
        <v>0</v>
      </c>
      <c r="P172" t="n">
        <v>0</v>
      </c>
      <c r="Q172">
        <f>IF(M159&lt;=0,"Cobrada",IF(L159&gt;0,"Parcial",IF(C159&lt;Resumen!$B$3,"Vencida",IF(C159&lt;=Resumen!$B$3+15,"Por vencer","Pendiente"))))</f>
        <v/>
      </c>
      <c r="R172" t="n">
        <v>0</v>
      </c>
      <c r="S172">
        <f>IF(M159&lt;=0,"Sin prioridad",IF(R159&gt;60,"Alta",IF(R159&gt;30,"Media",IF(C159&lt;=Resumen!$B$3+15,"Media","Baja"))))</f>
        <v/>
      </c>
      <c r="T172" t="inlineStr">
        <is>
          <t>Matías</t>
        </is>
      </c>
      <c r="U172" t="inlineStr">
        <is>
          <t>Sin acción</t>
        </is>
      </c>
      <c r="V172" t="inlineStr">
        <is>
          <t>Pendiente de confirmación de pago</t>
        </is>
      </c>
      <c r="Y172" t="inlineStr">
        <is>
          <t>2026-T1</t>
        </is>
      </c>
      <c r="Z172">
        <f>IF(AND(M159&gt;0,C159&lt;Resumen!$B$3),"Sí","No")</f>
        <v/>
      </c>
      <c r="AA172">
        <f>IF(AND(L159&gt;0,M159&gt;0),"Sí","No")</f>
        <v/>
      </c>
      <c r="AB172">
        <f>IF(J159="USD","Sí","No")</f>
        <v/>
      </c>
    </row>
    <row r="173">
      <c r="A173" t="inlineStr">
        <is>
          <t>FAC-00177</t>
        </is>
      </c>
      <c r="B173" s="33" t="n">
        <v>46113</v>
      </c>
      <c r="C173" s="33" t="n">
        <v>46158</v>
      </c>
      <c r="D173" s="33" t="n">
        <v>46163</v>
      </c>
      <c r="E173" t="inlineStr">
        <is>
          <t>CL-014</t>
        </is>
      </c>
      <c r="F173" t="inlineStr">
        <is>
          <t>Norte Gestión Integral S.R.L.</t>
        </is>
      </c>
      <c r="G173" t="inlineStr">
        <is>
          <t>PyME servicios recurrentes</t>
        </is>
      </c>
      <c r="H173" t="inlineStr">
        <is>
          <t>SRV-002</t>
        </is>
      </c>
      <c r="I173" t="inlineStr">
        <is>
          <t>Soporte operativo</t>
        </is>
      </c>
      <c r="J173" t="inlineStr">
        <is>
          <t>USD</t>
        </is>
      </c>
      <c r="K173" t="n">
        <v>700</v>
      </c>
      <c r="L173" t="n">
        <v>700</v>
      </c>
      <c r="M173" t="n">
        <v>0</v>
      </c>
      <c r="N173" t="n">
        <v>1600</v>
      </c>
      <c r="O173" t="n">
        <v>0</v>
      </c>
      <c r="P173" t="n">
        <v>0</v>
      </c>
      <c r="Q173">
        <f>IF(M178&lt;=0,"Cobrada",IF(L178&gt;0,"Parcial",IF(C178&lt;Resumen!$B$3,"Vencida",IF(C178&lt;=Resumen!$B$3+15,"Por vencer","Pendiente"))))</f>
        <v/>
      </c>
      <c r="R173" t="n">
        <v>0</v>
      </c>
      <c r="S173">
        <f>IF(M178&lt;=0,"Sin prioridad",IF(R178&gt;60,"Alta",IF(R178&gt;30,"Media",IF(C178&lt;=Resumen!$B$3+15,"Media","Baja"))))</f>
        <v/>
      </c>
      <c r="T173" t="inlineStr">
        <is>
          <t>Carlos</t>
        </is>
      </c>
      <c r="U173" t="inlineStr">
        <is>
          <t>Sin acción</t>
        </is>
      </c>
      <c r="V173" t="inlineStr">
        <is>
          <t>Pendiente de confirmación de pago</t>
        </is>
      </c>
      <c r="Y173" t="inlineStr">
        <is>
          <t>2026-T2</t>
        </is>
      </c>
      <c r="Z173">
        <f>IF(AND(M178&gt;0,C178&lt;Resumen!$B$3),"Sí","No")</f>
        <v/>
      </c>
      <c r="AA173">
        <f>IF(AND(L178&gt;0,M178&gt;0),"Sí","No")</f>
        <v/>
      </c>
      <c r="AB173">
        <f>IF(J178="USD","Sí","No")</f>
        <v/>
      </c>
    </row>
    <row r="174">
      <c r="A174" t="inlineStr">
        <is>
          <t>FAC-00178</t>
        </is>
      </c>
      <c r="B174" s="33" t="n">
        <v>46115</v>
      </c>
      <c r="C174" s="33" t="n">
        <v>46160</v>
      </c>
      <c r="E174" t="inlineStr">
        <is>
          <t>CL-018</t>
        </is>
      </c>
      <c r="F174" t="inlineStr">
        <is>
          <t>Río Claro Servicios S.R.L.</t>
        </is>
      </c>
      <c r="G174" t="inlineStr">
        <is>
          <t>PyME servicios recurrentes</t>
        </is>
      </c>
      <c r="H174" t="inlineStr">
        <is>
          <t>SRV-001</t>
        </is>
      </c>
      <c r="I174" t="inlineStr">
        <is>
          <t>Abono mensual administrativo</t>
        </is>
      </c>
      <c r="J174" t="inlineStr">
        <is>
          <t>USD</t>
        </is>
      </c>
      <c r="K174" t="n">
        <v>500</v>
      </c>
      <c r="L174" t="n">
        <v>0</v>
      </c>
      <c r="M174" t="n">
        <v>0</v>
      </c>
      <c r="N174" t="n">
        <v>1600</v>
      </c>
      <c r="O174" t="n">
        <v>0</v>
      </c>
      <c r="P174" t="n">
        <v>0</v>
      </c>
      <c r="Q174">
        <f>IF(M179&lt;=0,"Cobrada",IF(L179&gt;0,"Parcial",IF(C179&lt;Resumen!$B$3,"Vencida",IF(C179&lt;=Resumen!$B$3+15,"Por vencer","Pendiente"))))</f>
        <v/>
      </c>
      <c r="R174" t="n">
        <v>0</v>
      </c>
      <c r="S174">
        <f>IF(M179&lt;=0,"Sin prioridad",IF(R179&gt;60,"Alta",IF(R179&gt;30,"Media",IF(C179&lt;=Resumen!$B$3+15,"Media","Baja"))))</f>
        <v/>
      </c>
      <c r="T174" t="inlineStr">
        <is>
          <t>Ana</t>
        </is>
      </c>
      <c r="U174" t="inlineStr">
        <is>
          <t>Escalar gestión</t>
        </is>
      </c>
      <c r="V174" t="inlineStr">
        <is>
          <t>Pago prometido para próxima semana</t>
        </is>
      </c>
      <c r="Y174" t="inlineStr">
        <is>
          <t>2026-T2</t>
        </is>
      </c>
      <c r="Z174">
        <f>IF(AND(M179&gt;0,C179&lt;Resumen!$B$3),"Sí","No")</f>
        <v/>
      </c>
      <c r="AA174">
        <f>IF(AND(L179&gt;0,M179&gt;0),"Sí","No")</f>
        <v/>
      </c>
      <c r="AB174">
        <f>IF(J179="USD","Sí","No")</f>
        <v/>
      </c>
    </row>
    <row r="175">
      <c r="A175" t="inlineStr">
        <is>
          <t>FAC-00188</t>
        </is>
      </c>
      <c r="B175" s="33" t="n">
        <v>46115</v>
      </c>
      <c r="C175" s="33" t="n">
        <v>46160</v>
      </c>
      <c r="D175" s="33" t="n">
        <v>46201</v>
      </c>
      <c r="E175" t="inlineStr">
        <is>
          <t>CL-010</t>
        </is>
      </c>
      <c r="F175" t="inlineStr">
        <is>
          <t>Horizonte Servicios S.R.L.</t>
        </is>
      </c>
      <c r="G175" t="inlineStr">
        <is>
          <t>PyME servicios recurrentes</t>
        </is>
      </c>
      <c r="H175" t="inlineStr">
        <is>
          <t>SRV-001</t>
        </is>
      </c>
      <c r="I175" t="inlineStr">
        <is>
          <t>Abono mensual administrativo</t>
        </is>
      </c>
      <c r="J175" t="inlineStr">
        <is>
          <t>ARS</t>
        </is>
      </c>
      <c r="K175" t="n">
        <v>693000</v>
      </c>
      <c r="L175" t="n">
        <v>221988.07</v>
      </c>
      <c r="M175" t="n">
        <v>0</v>
      </c>
      <c r="N175" t="n">
        <v>1600</v>
      </c>
      <c r="O175" t="n">
        <v>0</v>
      </c>
      <c r="P175" t="n">
        <v>0</v>
      </c>
      <c r="Q175">
        <f>IF(M189&lt;=0,"Cobrada",IF(L189&gt;0,"Parcial",IF(C189&lt;Resumen!$B$3,"Vencida",IF(C189&lt;=Resumen!$B$3+15,"Por vencer","Pendiente"))))</f>
        <v/>
      </c>
      <c r="R175" t="n">
        <v>0</v>
      </c>
      <c r="S175">
        <f>IF(M189&lt;=0,"Sin prioridad",IF(R189&gt;60,"Alta",IF(R189&gt;30,"Media",IF(C189&lt;=Resumen!$B$3+15,"Media","Baja"))))</f>
        <v/>
      </c>
      <c r="T175" t="inlineStr">
        <is>
          <t>Matías</t>
        </is>
      </c>
      <c r="U175" t="inlineStr">
        <is>
          <t>Reclamar saldo parcial</t>
        </is>
      </c>
      <c r="V175" t="inlineStr">
        <is>
          <t>Cliente solicita reenvío de factura</t>
        </is>
      </c>
      <c r="Y175" t="inlineStr">
        <is>
          <t>2026-T2</t>
        </is>
      </c>
      <c r="Z175">
        <f>IF(AND(M189&gt;0,C189&lt;Resumen!$B$3),"Sí","No")</f>
        <v/>
      </c>
      <c r="AA175">
        <f>IF(AND(L189&gt;0,M189&gt;0),"Sí","No")</f>
        <v/>
      </c>
      <c r="AB175">
        <f>IF(J189="USD","Sí","No")</f>
        <v/>
      </c>
    </row>
    <row r="176">
      <c r="A176" t="inlineStr">
        <is>
          <t>FAC-00174</t>
        </is>
      </c>
      <c r="B176" s="33" t="n">
        <v>46116</v>
      </c>
      <c r="C176" s="33" t="n">
        <v>46161</v>
      </c>
      <c r="D176" s="33" t="n">
        <v>46175</v>
      </c>
      <c r="E176" t="inlineStr">
        <is>
          <t>CL-007</t>
        </is>
      </c>
      <c r="F176" t="inlineStr">
        <is>
          <t>Eje Comercial S.R.L.</t>
        </is>
      </c>
      <c r="G176" t="inlineStr">
        <is>
          <t>PyME servicios recurrentes</t>
        </is>
      </c>
      <c r="H176" t="inlineStr">
        <is>
          <t>SRV-004</t>
        </is>
      </c>
      <c r="I176" t="inlineStr">
        <is>
          <t>Reporte mensual / tablero de control</t>
        </is>
      </c>
      <c r="J176" t="inlineStr">
        <is>
          <t>ARS</t>
        </is>
      </c>
      <c r="K176" t="n">
        <v>482000</v>
      </c>
      <c r="L176" t="n">
        <v>358460.6</v>
      </c>
      <c r="M176" t="n">
        <v>0</v>
      </c>
      <c r="N176" t="n">
        <v>1600</v>
      </c>
      <c r="O176" t="n">
        <v>0</v>
      </c>
      <c r="P176" t="n">
        <v>0</v>
      </c>
      <c r="Q176">
        <f>IF(M175&lt;=0,"Cobrada",IF(L175&gt;0,"Parcial",IF(C175&lt;Resumen!$B$3,"Vencida",IF(C175&lt;=Resumen!$B$3+15,"Por vencer","Pendiente"))))</f>
        <v/>
      </c>
      <c r="R176" t="n">
        <v>0</v>
      </c>
      <c r="S176">
        <f>IF(M175&lt;=0,"Sin prioridad",IF(R175&gt;60,"Alta",IF(R175&gt;30,"Media",IF(C175&lt;=Resumen!$B$3+15,"Media","Baja"))))</f>
        <v/>
      </c>
      <c r="T176" t="inlineStr">
        <is>
          <t>Matías</t>
        </is>
      </c>
      <c r="U176" t="inlineStr">
        <is>
          <t>Reclamar saldo parcial</t>
        </is>
      </c>
      <c r="V176" t="inlineStr">
        <is>
          <t>Cliente solicita reenvío de factura</t>
        </is>
      </c>
      <c r="Y176" t="inlineStr">
        <is>
          <t>2026-T2</t>
        </is>
      </c>
      <c r="Z176">
        <f>IF(AND(M175&gt;0,C175&lt;Resumen!$B$3),"Sí","No")</f>
        <v/>
      </c>
      <c r="AA176">
        <f>IF(AND(L175&gt;0,M175&gt;0),"Sí","No")</f>
        <v/>
      </c>
      <c r="AB176">
        <f>IF(J175="USD","Sí","No")</f>
        <v/>
      </c>
    </row>
    <row r="177">
      <c r="A177" t="inlineStr">
        <is>
          <t>FAC-00181</t>
        </is>
      </c>
      <c r="B177" s="33" t="n">
        <v>46117</v>
      </c>
      <c r="C177" s="33" t="n">
        <v>46147</v>
      </c>
      <c r="D177" s="33" t="n">
        <v>46147</v>
      </c>
      <c r="E177" t="inlineStr">
        <is>
          <t>CL-002</t>
        </is>
      </c>
      <c r="F177" t="inlineStr">
        <is>
          <t>Andes Gestión S.A.</t>
        </is>
      </c>
      <c r="G177" t="inlineStr">
        <is>
          <t>PyME servicios recurrentes</t>
        </is>
      </c>
      <c r="H177" t="inlineStr">
        <is>
          <t>SRV-001</t>
        </is>
      </c>
      <c r="I177" t="inlineStr">
        <is>
          <t>Abono mensual administrativo</t>
        </is>
      </c>
      <c r="J177" t="inlineStr">
        <is>
          <t>ARS</t>
        </is>
      </c>
      <c r="K177" t="n">
        <v>532000</v>
      </c>
      <c r="L177" t="n">
        <v>532000</v>
      </c>
      <c r="M177" t="n">
        <v>0</v>
      </c>
      <c r="N177" t="n">
        <v>1600</v>
      </c>
      <c r="O177" t="n">
        <v>0</v>
      </c>
      <c r="P177" t="n">
        <v>0</v>
      </c>
      <c r="Q177">
        <f>IF(M182&lt;=0,"Cobrada",IF(L182&gt;0,"Parcial",IF(C182&lt;Resumen!$B$3,"Vencida",IF(C182&lt;=Resumen!$B$3+15,"Por vencer","Pendiente"))))</f>
        <v/>
      </c>
      <c r="R177" t="n">
        <v>0</v>
      </c>
      <c r="S177">
        <f>IF(M182&lt;=0,"Sin prioridad",IF(R182&gt;60,"Alta",IF(R182&gt;30,"Media",IF(C182&lt;=Resumen!$B$3+15,"Media","Baja"))))</f>
        <v/>
      </c>
      <c r="T177" t="inlineStr">
        <is>
          <t>Matías</t>
        </is>
      </c>
      <c r="U177" t="inlineStr">
        <is>
          <t>Sin acción</t>
        </is>
      </c>
      <c r="V177" t="inlineStr">
        <is>
          <t>Pago prometido para próxima semana</t>
        </is>
      </c>
      <c r="Y177" t="inlineStr">
        <is>
          <t>2026-T2</t>
        </is>
      </c>
      <c r="Z177">
        <f>IF(AND(M182&gt;0,C182&lt;Resumen!$B$3),"Sí","No")</f>
        <v/>
      </c>
      <c r="AA177">
        <f>IF(AND(L182&gt;0,M182&gt;0),"Sí","No")</f>
        <v/>
      </c>
      <c r="AB177">
        <f>IF(J182="USD","Sí","No")</f>
        <v/>
      </c>
    </row>
    <row r="178">
      <c r="A178" t="inlineStr">
        <is>
          <t>FAC-00191</t>
        </is>
      </c>
      <c r="B178" s="33" t="n">
        <v>46117</v>
      </c>
      <c r="C178" s="33" t="n">
        <v>46147</v>
      </c>
      <c r="D178" s="33" t="n">
        <v>46164</v>
      </c>
      <c r="E178" t="inlineStr">
        <is>
          <t>CL-019</t>
        </is>
      </c>
      <c r="F178" t="inlineStr">
        <is>
          <t>Sierra Norte S.A.S.</t>
        </is>
      </c>
      <c r="G178" t="inlineStr">
        <is>
          <t>PyME servicios recurrentes</t>
        </is>
      </c>
      <c r="H178" t="inlineStr">
        <is>
          <t>SRV-001</t>
        </is>
      </c>
      <c r="I178" t="inlineStr">
        <is>
          <t>Abono mensual administrativo</t>
        </is>
      </c>
      <c r="J178" t="inlineStr">
        <is>
          <t>ARS</t>
        </is>
      </c>
      <c r="K178" t="n">
        <v>562000</v>
      </c>
      <c r="L178" t="n">
        <v>562000</v>
      </c>
      <c r="M178" t="n">
        <v>0</v>
      </c>
      <c r="N178" t="n">
        <v>1600</v>
      </c>
      <c r="O178" t="n">
        <v>0</v>
      </c>
      <c r="P178" t="n">
        <v>0</v>
      </c>
      <c r="Q178">
        <f>IF(M192&lt;=0,"Cobrada",IF(L192&gt;0,"Parcial",IF(C192&lt;Resumen!$B$3,"Vencida",IF(C192&lt;=Resumen!$B$3+15,"Por vencer","Pendiente"))))</f>
        <v/>
      </c>
      <c r="R178" t="n">
        <v>0</v>
      </c>
      <c r="S178">
        <f>IF(M192&lt;=0,"Sin prioridad",IF(R192&gt;60,"Alta",IF(R192&gt;30,"Media",IF(C192&lt;=Resumen!$B$3+15,"Media","Baja"))))</f>
        <v/>
      </c>
      <c r="T178" t="inlineStr">
        <is>
          <t>Carlos</t>
        </is>
      </c>
      <c r="U178" t="inlineStr">
        <is>
          <t>Sin acción</t>
        </is>
      </c>
      <c r="V178" t="inlineStr">
        <is>
          <t>En seguimiento administrativo</t>
        </is>
      </c>
      <c r="Y178" t="inlineStr">
        <is>
          <t>2026-T2</t>
        </is>
      </c>
      <c r="Z178">
        <f>IF(AND(M192&gt;0,C192&lt;Resumen!$B$3),"Sí","No")</f>
        <v/>
      </c>
      <c r="AA178">
        <f>IF(AND(L192&gt;0,M192&gt;0),"Sí","No")</f>
        <v/>
      </c>
      <c r="AB178">
        <f>IF(J192="USD","Sí","No")</f>
        <v/>
      </c>
    </row>
    <row r="179">
      <c r="A179" t="inlineStr">
        <is>
          <t>FAC-00190</t>
        </is>
      </c>
      <c r="B179" s="33" t="n">
        <v>46118</v>
      </c>
      <c r="C179" s="33" t="n">
        <v>46178</v>
      </c>
      <c r="E179" t="inlineStr">
        <is>
          <t>CL-006</t>
        </is>
      </c>
      <c r="F179" t="inlineStr">
        <is>
          <t>Delta Gestión PyME S.A.</t>
        </is>
      </c>
      <c r="G179" t="inlineStr">
        <is>
          <t>PyME servicios recurrentes</t>
        </is>
      </c>
      <c r="H179" t="inlineStr">
        <is>
          <t>SRV-001</t>
        </is>
      </c>
      <c r="I179" t="inlineStr">
        <is>
          <t>Abono mensual administrativo</t>
        </is>
      </c>
      <c r="J179" t="inlineStr">
        <is>
          <t>ARS</t>
        </is>
      </c>
      <c r="K179" t="n">
        <v>366000</v>
      </c>
      <c r="L179" t="n">
        <v>0</v>
      </c>
      <c r="M179" t="n">
        <v>0</v>
      </c>
      <c r="N179" t="n">
        <v>1600</v>
      </c>
      <c r="O179" t="n">
        <v>0</v>
      </c>
      <c r="P179" t="n">
        <v>0</v>
      </c>
      <c r="Q179">
        <f>IF(M191&lt;=0,"Cobrada",IF(L191&gt;0,"Parcial",IF(C191&lt;Resumen!$B$3,"Vencida",IF(C191&lt;=Resumen!$B$3+15,"Por vencer","Pendiente"))))</f>
        <v/>
      </c>
      <c r="R179" t="n">
        <v>0</v>
      </c>
      <c r="S179">
        <f>IF(M191&lt;=0,"Sin prioridad",IF(R191&gt;60,"Alta",IF(R191&gt;30,"Media",IF(C191&lt;=Resumen!$B$3+15,"Media","Baja"))))</f>
        <v/>
      </c>
      <c r="T179" t="inlineStr">
        <is>
          <t>Ana</t>
        </is>
      </c>
      <c r="U179" t="inlineStr">
        <is>
          <t>Escalar gestión</t>
        </is>
      </c>
      <c r="V179" t="inlineStr">
        <is>
          <t>Pendiente de confirmación de pago</t>
        </is>
      </c>
      <c r="Y179" t="inlineStr">
        <is>
          <t>2026-T2</t>
        </is>
      </c>
      <c r="Z179">
        <f>IF(AND(M191&gt;0,C191&lt;Resumen!$B$3),"Sí","No")</f>
        <v/>
      </c>
      <c r="AA179">
        <f>IF(AND(L191&gt;0,M191&gt;0),"Sí","No")</f>
        <v/>
      </c>
      <c r="AB179">
        <f>IF(J191="USD","Sí","No")</f>
        <v/>
      </c>
    </row>
    <row r="180">
      <c r="A180" t="inlineStr">
        <is>
          <t>FAC-00179</t>
        </is>
      </c>
      <c r="B180" s="33" t="n">
        <v>46121</v>
      </c>
      <c r="C180" s="33" t="n">
        <v>46136</v>
      </c>
      <c r="E180" t="inlineStr">
        <is>
          <t>CL-023</t>
        </is>
      </c>
      <c r="F180" t="inlineStr">
        <is>
          <t>Vector Administración S.A.S.</t>
        </is>
      </c>
      <c r="G180" t="inlineStr">
        <is>
          <t>PyME servicios recurrentes</t>
        </is>
      </c>
      <c r="H180" t="inlineStr">
        <is>
          <t>SRV-001</t>
        </is>
      </c>
      <c r="I180" t="inlineStr">
        <is>
          <t>Abono mensual administrativo</t>
        </is>
      </c>
      <c r="J180" t="inlineStr">
        <is>
          <t>ARS</t>
        </is>
      </c>
      <c r="K180" t="n">
        <v>917000</v>
      </c>
      <c r="L180" t="n">
        <v>0</v>
      </c>
      <c r="M180" t="n">
        <v>0</v>
      </c>
      <c r="N180" t="n">
        <v>1600</v>
      </c>
      <c r="O180" t="n">
        <v>0</v>
      </c>
      <c r="P180" t="n">
        <v>0</v>
      </c>
      <c r="Q180">
        <f>IF(M180&lt;=0,"Cobrada",IF(L180&gt;0,"Parcial",IF(C180&lt;Resumen!$B$3,"Vencida",IF(C180&lt;=Resumen!$B$3+15,"Por vencer","Pendiente"))))</f>
        <v/>
      </c>
      <c r="R180" t="n">
        <v>0</v>
      </c>
      <c r="S180">
        <f>IF(M180&lt;=0,"Sin prioridad",IF(R180&gt;60,"Alta",IF(R180&gt;30,"Media",IF(C180&lt;=Resumen!$B$3+15,"Media","Baja"))))</f>
        <v/>
      </c>
      <c r="T180" t="inlineStr">
        <is>
          <t>Ana</t>
        </is>
      </c>
      <c r="U180" t="inlineStr">
        <is>
          <t>Enviar recordatorio</t>
        </is>
      </c>
      <c r="V180" t="inlineStr">
        <is>
          <t>Pago prometido para próxima semana</t>
        </is>
      </c>
      <c r="Y180" t="inlineStr">
        <is>
          <t>2026-T2</t>
        </is>
      </c>
      <c r="Z180">
        <f>IF(AND(M180&gt;0,C180&lt;Resumen!$B$3),"Sí","No")</f>
        <v/>
      </c>
      <c r="AA180">
        <f>IF(AND(L180&gt;0,M180&gt;0),"Sí","No")</f>
        <v/>
      </c>
      <c r="AB180">
        <f>IF(J180="USD","Sí","No")</f>
        <v/>
      </c>
    </row>
    <row r="181">
      <c r="A181" t="inlineStr">
        <is>
          <t>FAC-00183</t>
        </is>
      </c>
      <c r="B181" s="33" t="n">
        <v>46123</v>
      </c>
      <c r="C181" s="33" t="n">
        <v>46168</v>
      </c>
      <c r="D181" s="33" t="n">
        <v>46176</v>
      </c>
      <c r="E181" t="inlineStr">
        <is>
          <t>CL-016</t>
        </is>
      </c>
      <c r="F181" t="inlineStr">
        <is>
          <t>Patagonia Gestión S.R.L.</t>
        </is>
      </c>
      <c r="G181" t="inlineStr">
        <is>
          <t>PyME servicios recurrentes</t>
        </is>
      </c>
      <c r="H181" t="inlineStr">
        <is>
          <t>SRV-001</t>
        </is>
      </c>
      <c r="I181" t="inlineStr">
        <is>
          <t>Abono mensual administrativo</t>
        </is>
      </c>
      <c r="J181" t="inlineStr">
        <is>
          <t>ARS</t>
        </is>
      </c>
      <c r="K181" t="n">
        <v>400000</v>
      </c>
      <c r="L181" t="n">
        <v>400000</v>
      </c>
      <c r="M181" t="n">
        <v>0</v>
      </c>
      <c r="N181" t="n">
        <v>1600</v>
      </c>
      <c r="O181" t="n">
        <v>0</v>
      </c>
      <c r="P181" t="n">
        <v>0</v>
      </c>
      <c r="Q181">
        <f>IF(M184&lt;=0,"Cobrada",IF(L184&gt;0,"Parcial",IF(C184&lt;Resumen!$B$3,"Vencida",IF(C184&lt;=Resumen!$B$3+15,"Por vencer","Pendiente"))))</f>
        <v/>
      </c>
      <c r="R181" t="n">
        <v>0</v>
      </c>
      <c r="S181">
        <f>IF(M184&lt;=0,"Sin prioridad",IF(R184&gt;60,"Alta",IF(R184&gt;30,"Media",IF(C184&lt;=Resumen!$B$3+15,"Media","Baja"))))</f>
        <v/>
      </c>
      <c r="T181" t="inlineStr">
        <is>
          <t>Matías</t>
        </is>
      </c>
      <c r="U181" t="inlineStr">
        <is>
          <t>Sin acción</t>
        </is>
      </c>
      <c r="V181" t="inlineStr">
        <is>
          <t>Cliente solicita reenvío de factura</t>
        </is>
      </c>
      <c r="Y181" t="inlineStr">
        <is>
          <t>2026-T2</t>
        </is>
      </c>
      <c r="Z181">
        <f>IF(AND(M184&gt;0,C184&lt;Resumen!$B$3),"Sí","No")</f>
        <v/>
      </c>
      <c r="AA181">
        <f>IF(AND(L184&gt;0,M184&gt;0),"Sí","No")</f>
        <v/>
      </c>
      <c r="AB181">
        <f>IF(J184="USD","Sí","No")</f>
        <v/>
      </c>
    </row>
    <row r="182">
      <c r="A182" t="inlineStr">
        <is>
          <t>FAC-00189</t>
        </is>
      </c>
      <c r="B182" s="33" t="n">
        <v>46124</v>
      </c>
      <c r="C182" s="33" t="n">
        <v>46169</v>
      </c>
      <c r="D182" s="33" t="n">
        <v>46185</v>
      </c>
      <c r="E182" t="inlineStr">
        <is>
          <t>CL-022</t>
        </is>
      </c>
      <c r="F182" t="inlineStr">
        <is>
          <t>Valle Operativo S.R.L.</t>
        </is>
      </c>
      <c r="G182" t="inlineStr">
        <is>
          <t>PyME servicios recurrentes</t>
        </is>
      </c>
      <c r="H182" t="inlineStr">
        <is>
          <t>SRV-002</t>
        </is>
      </c>
      <c r="I182" t="inlineStr">
        <is>
          <t>Soporte operativo</t>
        </is>
      </c>
      <c r="J182" t="inlineStr">
        <is>
          <t>ARS</t>
        </is>
      </c>
      <c r="K182" t="n">
        <v>496000</v>
      </c>
      <c r="L182" t="n">
        <v>496000</v>
      </c>
      <c r="M182" t="n">
        <v>0</v>
      </c>
      <c r="N182" t="n">
        <v>1600</v>
      </c>
      <c r="O182" t="n">
        <v>0</v>
      </c>
      <c r="P182" t="n">
        <v>0</v>
      </c>
      <c r="Q182">
        <f>IF(M190&lt;=0,"Cobrada",IF(L190&gt;0,"Parcial",IF(C190&lt;Resumen!$B$3,"Vencida",IF(C190&lt;=Resumen!$B$3+15,"Por vencer","Pendiente"))))</f>
        <v/>
      </c>
      <c r="R182" t="n">
        <v>0</v>
      </c>
      <c r="S182">
        <f>IF(M190&lt;=0,"Sin prioridad",IF(R190&gt;60,"Alta",IF(R190&gt;30,"Media",IF(C190&lt;=Resumen!$B$3+15,"Media","Baja"))))</f>
        <v/>
      </c>
      <c r="T182" t="inlineStr">
        <is>
          <t>Ana</t>
        </is>
      </c>
      <c r="U182" t="inlineStr">
        <is>
          <t>Sin acción</t>
        </is>
      </c>
      <c r="V182" t="inlineStr">
        <is>
          <t>En seguimiento administrativo</t>
        </is>
      </c>
      <c r="Y182" t="inlineStr">
        <is>
          <t>2026-T2</t>
        </is>
      </c>
      <c r="Z182">
        <f>IF(AND(M190&gt;0,C190&lt;Resumen!$B$3),"Sí","No")</f>
        <v/>
      </c>
      <c r="AA182">
        <f>IF(AND(L190&gt;0,M190&gt;0),"Sí","No")</f>
        <v/>
      </c>
      <c r="AB182">
        <f>IF(J190="USD","Sí","No")</f>
        <v/>
      </c>
    </row>
    <row r="183">
      <c r="A183" t="inlineStr">
        <is>
          <t>FAC-00172</t>
        </is>
      </c>
      <c r="B183" s="33" t="n">
        <v>46127</v>
      </c>
      <c r="C183" s="33" t="n">
        <v>46157</v>
      </c>
      <c r="D183" s="33" t="n">
        <v>46159</v>
      </c>
      <c r="E183" t="inlineStr">
        <is>
          <t>CL-002</t>
        </is>
      </c>
      <c r="F183" t="inlineStr">
        <is>
          <t>Andes Gestión S.A.</t>
        </is>
      </c>
      <c r="G183" t="inlineStr">
        <is>
          <t>PyME servicios recurrentes</t>
        </is>
      </c>
      <c r="H183" t="inlineStr">
        <is>
          <t>SRV-005</t>
        </is>
      </c>
      <c r="I183" t="inlineStr">
        <is>
          <t>Servicio extraordinario puntual</t>
        </is>
      </c>
      <c r="J183" t="inlineStr">
        <is>
          <t>ARS</t>
        </is>
      </c>
      <c r="K183" t="n">
        <v>1160000</v>
      </c>
      <c r="L183" t="n">
        <v>1160000</v>
      </c>
      <c r="M183" t="n">
        <v>0</v>
      </c>
      <c r="N183" t="n">
        <v>1600</v>
      </c>
      <c r="O183" t="n">
        <v>0</v>
      </c>
      <c r="P183" t="n">
        <v>0</v>
      </c>
      <c r="Q183">
        <f>IF(M173&lt;=0,"Cobrada",IF(L173&gt;0,"Parcial",IF(C173&lt;Resumen!$B$3,"Vencida",IF(C173&lt;=Resumen!$B$3+15,"Por vencer","Pendiente"))))</f>
        <v/>
      </c>
      <c r="R183" t="n">
        <v>0</v>
      </c>
      <c r="S183">
        <f>IF(M173&lt;=0,"Sin prioridad",IF(R173&gt;60,"Alta",IF(R173&gt;30,"Media",IF(C173&lt;=Resumen!$B$3+15,"Media","Baja"))))</f>
        <v/>
      </c>
      <c r="T183" t="inlineStr">
        <is>
          <t>Matías</t>
        </is>
      </c>
      <c r="U183" t="inlineStr">
        <is>
          <t>Sin acción</t>
        </is>
      </c>
      <c r="Y183" t="inlineStr">
        <is>
          <t>2026-T2</t>
        </is>
      </c>
      <c r="Z183">
        <f>IF(AND(M173&gt;0,C173&lt;Resumen!$B$3),"Sí","No")</f>
        <v/>
      </c>
      <c r="AA183">
        <f>IF(AND(L173&gt;0,M173&gt;0),"Sí","No")</f>
        <v/>
      </c>
      <c r="AB183">
        <f>IF(J173="USD","Sí","No")</f>
        <v/>
      </c>
    </row>
    <row r="184">
      <c r="A184" t="inlineStr">
        <is>
          <t>FAC-00180</t>
        </is>
      </c>
      <c r="B184" s="33" t="n">
        <v>46127</v>
      </c>
      <c r="C184" s="33" t="n">
        <v>46172</v>
      </c>
      <c r="D184" s="33" t="n">
        <v>46179</v>
      </c>
      <c r="E184" t="inlineStr">
        <is>
          <t>CL-007</t>
        </is>
      </c>
      <c r="F184" t="inlineStr">
        <is>
          <t>Eje Comercial S.R.L.</t>
        </is>
      </c>
      <c r="G184" t="inlineStr">
        <is>
          <t>PyME servicios recurrentes</t>
        </is>
      </c>
      <c r="H184" t="inlineStr">
        <is>
          <t>SRV-002</t>
        </is>
      </c>
      <c r="I184" t="inlineStr">
        <is>
          <t>Soporte operativo</t>
        </is>
      </c>
      <c r="J184" t="inlineStr">
        <is>
          <t>ARS</t>
        </is>
      </c>
      <c r="K184" t="n">
        <v>564000</v>
      </c>
      <c r="L184" t="n">
        <v>564000</v>
      </c>
      <c r="M184" t="n">
        <v>0</v>
      </c>
      <c r="N184" t="n">
        <v>1600</v>
      </c>
      <c r="O184" t="n">
        <v>0</v>
      </c>
      <c r="P184" t="n">
        <v>0</v>
      </c>
      <c r="Q184">
        <f>IF(M181&lt;=0,"Cobrada",IF(L181&gt;0,"Parcial",IF(C181&lt;Resumen!$B$3,"Vencida",IF(C181&lt;=Resumen!$B$3+15,"Por vencer","Pendiente"))))</f>
        <v/>
      </c>
      <c r="R184" t="n">
        <v>0</v>
      </c>
      <c r="S184">
        <f>IF(M181&lt;=0,"Sin prioridad",IF(R181&gt;60,"Alta",IF(R181&gt;30,"Media",IF(C181&lt;=Resumen!$B$3+15,"Media","Baja"))))</f>
        <v/>
      </c>
      <c r="T184" t="inlineStr">
        <is>
          <t>Matías</t>
        </is>
      </c>
      <c r="U184" t="inlineStr">
        <is>
          <t>Sin acción</t>
        </is>
      </c>
      <c r="V184" t="inlineStr">
        <is>
          <t>Pago prometido para próxima semana</t>
        </is>
      </c>
      <c r="Y184" t="inlineStr">
        <is>
          <t>2026-T2</t>
        </is>
      </c>
      <c r="Z184">
        <f>IF(AND(M181&gt;0,C181&lt;Resumen!$B$3),"Sí","No")</f>
        <v/>
      </c>
      <c r="AA184">
        <f>IF(AND(L181&gt;0,M181&gt;0),"Sí","No")</f>
        <v/>
      </c>
      <c r="AB184">
        <f>IF(J181="USD","Sí","No")</f>
        <v/>
      </c>
    </row>
    <row r="185">
      <c r="A185" t="inlineStr">
        <is>
          <t>FAC-00185</t>
        </is>
      </c>
      <c r="B185" s="33" t="n">
        <v>46127</v>
      </c>
      <c r="C185" s="33" t="n">
        <v>46172</v>
      </c>
      <c r="D185" s="33" t="n">
        <v>46177</v>
      </c>
      <c r="E185" t="inlineStr">
        <is>
          <t>CL-007</t>
        </is>
      </c>
      <c r="F185" t="inlineStr">
        <is>
          <t>Eje Comercial S.R.L.</t>
        </is>
      </c>
      <c r="G185" t="inlineStr">
        <is>
          <t>PyME servicios recurrentes</t>
        </is>
      </c>
      <c r="H185" t="inlineStr">
        <is>
          <t>SRV-003</t>
        </is>
      </c>
      <c r="I185" t="inlineStr">
        <is>
          <t>Consultoría de gestión</t>
        </is>
      </c>
      <c r="J185" t="inlineStr">
        <is>
          <t>USD</t>
        </is>
      </c>
      <c r="K185" t="n">
        <v>1350</v>
      </c>
      <c r="L185" t="n">
        <v>1350</v>
      </c>
      <c r="M185" t="n">
        <v>0</v>
      </c>
      <c r="N185" t="n">
        <v>1600</v>
      </c>
      <c r="O185" t="n">
        <v>0</v>
      </c>
      <c r="P185" t="n">
        <v>0</v>
      </c>
      <c r="Q185">
        <f>IF(M186&lt;=0,"Cobrada",IF(L186&gt;0,"Parcial",IF(C186&lt;Resumen!$B$3,"Vencida",IF(C186&lt;=Resumen!$B$3+15,"Por vencer","Pendiente"))))</f>
        <v/>
      </c>
      <c r="R185" t="n">
        <v>0</v>
      </c>
      <c r="S185">
        <f>IF(M186&lt;=0,"Sin prioridad",IF(R186&gt;60,"Alta",IF(R186&gt;30,"Media",IF(C186&lt;=Resumen!$B$3+15,"Media","Baja"))))</f>
        <v/>
      </c>
      <c r="T185" t="inlineStr">
        <is>
          <t>Matías</t>
        </is>
      </c>
      <c r="U185" t="inlineStr">
        <is>
          <t>Sin acción</t>
        </is>
      </c>
      <c r="Y185" t="inlineStr">
        <is>
          <t>2026-T2</t>
        </is>
      </c>
      <c r="Z185">
        <f>IF(AND(M186&gt;0,C186&lt;Resumen!$B$3),"Sí","No")</f>
        <v/>
      </c>
      <c r="AA185">
        <f>IF(AND(L186&gt;0,M186&gt;0),"Sí","No")</f>
        <v/>
      </c>
      <c r="AB185">
        <f>IF(J186="USD","Sí","No")</f>
        <v/>
      </c>
    </row>
    <row r="186">
      <c r="A186" t="inlineStr">
        <is>
          <t>FAC-00187</t>
        </is>
      </c>
      <c r="B186" s="33" t="n">
        <v>46129</v>
      </c>
      <c r="C186" s="33" t="n">
        <v>46144</v>
      </c>
      <c r="D186" s="33" t="n">
        <v>46143</v>
      </c>
      <c r="E186" t="inlineStr">
        <is>
          <t>CL-011</t>
        </is>
      </c>
      <c r="F186" t="inlineStr">
        <is>
          <t>Impulso Gestión S.A.S.</t>
        </is>
      </c>
      <c r="G186" t="inlineStr">
        <is>
          <t>PyME servicios recurrentes</t>
        </is>
      </c>
      <c r="H186" t="inlineStr">
        <is>
          <t>SRV-003</t>
        </is>
      </c>
      <c r="I186" t="inlineStr">
        <is>
          <t>Consultoría de gestión</t>
        </is>
      </c>
      <c r="J186" t="inlineStr">
        <is>
          <t>USD</t>
        </is>
      </c>
      <c r="K186" t="n">
        <v>850</v>
      </c>
      <c r="L186" t="n">
        <v>850</v>
      </c>
      <c r="M186" t="n">
        <v>0</v>
      </c>
      <c r="N186" t="n">
        <v>1600</v>
      </c>
      <c r="O186" t="n">
        <v>0</v>
      </c>
      <c r="P186" t="n">
        <v>0</v>
      </c>
      <c r="Q186">
        <f>IF(M188&lt;=0,"Cobrada",IF(L188&gt;0,"Parcial",IF(C188&lt;Resumen!$B$3,"Vencida",IF(C188&lt;=Resumen!$B$3+15,"Por vencer","Pendiente"))))</f>
        <v/>
      </c>
      <c r="R186" t="n">
        <v>0</v>
      </c>
      <c r="S186">
        <f>IF(M188&lt;=0,"Sin prioridad",IF(R188&gt;60,"Alta",IF(R188&gt;30,"Media",IF(C188&lt;=Resumen!$B$3+15,"Media","Baja"))))</f>
        <v/>
      </c>
      <c r="T186" t="inlineStr">
        <is>
          <t>Carlos</t>
        </is>
      </c>
      <c r="U186" t="inlineStr">
        <is>
          <t>Sin acción</t>
        </is>
      </c>
      <c r="V186" t="inlineStr">
        <is>
          <t>En seguimiento administrativo</t>
        </is>
      </c>
      <c r="Y186" t="inlineStr">
        <is>
          <t>2026-T2</t>
        </is>
      </c>
      <c r="Z186">
        <f>IF(AND(M188&gt;0,C188&lt;Resumen!$B$3),"Sí","No")</f>
        <v/>
      </c>
      <c r="AA186">
        <f>IF(AND(L188&gt;0,M188&gt;0),"Sí","No")</f>
        <v/>
      </c>
      <c r="AB186">
        <f>IF(J188="USD","Sí","No")</f>
        <v/>
      </c>
    </row>
    <row r="187">
      <c r="A187" t="inlineStr">
        <is>
          <t>FAC-00176</t>
        </is>
      </c>
      <c r="B187" s="33" t="n">
        <v>46131</v>
      </c>
      <c r="C187" s="33" t="n">
        <v>46146</v>
      </c>
      <c r="D187" s="33" t="n">
        <v>46142</v>
      </c>
      <c r="E187" t="inlineStr">
        <is>
          <t>CL-005</t>
        </is>
      </c>
      <c r="F187" t="inlineStr">
        <is>
          <t>Cerro Azul S.R.L.</t>
        </is>
      </c>
      <c r="G187" t="inlineStr">
        <is>
          <t>PyME servicios recurrentes</t>
        </is>
      </c>
      <c r="H187" t="inlineStr">
        <is>
          <t>SRV-005</t>
        </is>
      </c>
      <c r="I187" t="inlineStr">
        <is>
          <t>Servicio extraordinario puntual</t>
        </is>
      </c>
      <c r="J187" t="inlineStr">
        <is>
          <t>ARS</t>
        </is>
      </c>
      <c r="K187" t="n">
        <v>373000</v>
      </c>
      <c r="L187" t="n">
        <v>373000</v>
      </c>
      <c r="M187" t="n">
        <v>0</v>
      </c>
      <c r="N187" t="n">
        <v>1600</v>
      </c>
      <c r="O187" t="n">
        <v>0</v>
      </c>
      <c r="P187" t="n">
        <v>0</v>
      </c>
      <c r="Q187">
        <f>IF(M177&lt;=0,"Cobrada",IF(L177&gt;0,"Parcial",IF(C177&lt;Resumen!$B$3,"Vencida",IF(C177&lt;=Resumen!$B$3+15,"Por vencer","Pendiente"))))</f>
        <v/>
      </c>
      <c r="R187" t="n">
        <v>0</v>
      </c>
      <c r="S187">
        <f>IF(M177&lt;=0,"Sin prioridad",IF(R177&gt;60,"Alta",IF(R177&gt;30,"Media",IF(C177&lt;=Resumen!$B$3+15,"Media","Baja"))))</f>
        <v/>
      </c>
      <c r="T187" t="inlineStr">
        <is>
          <t>Ana</t>
        </is>
      </c>
      <c r="U187" t="inlineStr">
        <is>
          <t>Sin acción</t>
        </is>
      </c>
      <c r="V187" t="inlineStr">
        <is>
          <t>Sin respuesta del cliente</t>
        </is>
      </c>
      <c r="Y187" t="inlineStr">
        <is>
          <t>2026-T2</t>
        </is>
      </c>
      <c r="Z187">
        <f>IF(AND(M177&gt;0,C177&lt;Resumen!$B$3),"Sí","No")</f>
        <v/>
      </c>
      <c r="AA187">
        <f>IF(AND(L177&gt;0,M177&gt;0),"Sí","No")</f>
        <v/>
      </c>
      <c r="AB187">
        <f>IF(J177="USD","Sí","No")</f>
        <v/>
      </c>
    </row>
    <row r="188">
      <c r="A188" t="inlineStr">
        <is>
          <t>FAC-00186</t>
        </is>
      </c>
      <c r="B188" s="33" t="n">
        <v>46131</v>
      </c>
      <c r="C188" s="33" t="n">
        <v>46176</v>
      </c>
      <c r="E188" t="inlineStr">
        <is>
          <t>CL-012</t>
        </is>
      </c>
      <c r="F188" t="inlineStr">
        <is>
          <t>Litoral Soluciones S.R.L.</t>
        </is>
      </c>
      <c r="G188" t="inlineStr">
        <is>
          <t>PyME servicios recurrentes</t>
        </is>
      </c>
      <c r="H188" t="inlineStr">
        <is>
          <t>SRV-002</t>
        </is>
      </c>
      <c r="I188" t="inlineStr">
        <is>
          <t>Soporte operativo</t>
        </is>
      </c>
      <c r="J188" t="inlineStr">
        <is>
          <t>USD</t>
        </is>
      </c>
      <c r="K188" t="n">
        <v>850</v>
      </c>
      <c r="L188" t="n">
        <v>0</v>
      </c>
      <c r="M188" t="n">
        <v>0</v>
      </c>
      <c r="N188" t="n">
        <v>1600</v>
      </c>
      <c r="O188" t="n">
        <v>0</v>
      </c>
      <c r="P188" t="n">
        <v>0</v>
      </c>
      <c r="Q188">
        <f>IF(M187&lt;=0,"Cobrada",IF(L187&gt;0,"Parcial",IF(C187&lt;Resumen!$B$3,"Vencida",IF(C187&lt;=Resumen!$B$3+15,"Por vencer","Pendiente"))))</f>
        <v/>
      </c>
      <c r="R188" t="n">
        <v>0</v>
      </c>
      <c r="S188">
        <f>IF(M187&lt;=0,"Sin prioridad",IF(R187&gt;60,"Alta",IF(R187&gt;30,"Media",IF(C187&lt;=Resumen!$B$3+15,"Media","Baja"))))</f>
        <v/>
      </c>
      <c r="T188" t="inlineStr">
        <is>
          <t>Matías</t>
        </is>
      </c>
      <c r="U188" t="inlineStr">
        <is>
          <t>Escalar gestión</t>
        </is>
      </c>
      <c r="V188" t="inlineStr">
        <is>
          <t>Pendiente de confirmación de pago</t>
        </is>
      </c>
      <c r="Y188" t="inlineStr">
        <is>
          <t>2026-T2</t>
        </is>
      </c>
      <c r="Z188">
        <f>IF(AND(M187&gt;0,C187&lt;Resumen!$B$3),"Sí","No")</f>
        <v/>
      </c>
      <c r="AA188">
        <f>IF(AND(L187&gt;0,M187&gt;0),"Sí","No")</f>
        <v/>
      </c>
      <c r="AB188">
        <f>IF(J187="USD","Sí","No")</f>
        <v/>
      </c>
    </row>
    <row r="189">
      <c r="A189" t="inlineStr">
        <is>
          <t>FAC-00173</t>
        </is>
      </c>
      <c r="B189" s="33" t="n">
        <v>46132</v>
      </c>
      <c r="C189" s="33" t="n">
        <v>46147</v>
      </c>
      <c r="D189" s="33" t="n">
        <v>46157</v>
      </c>
      <c r="E189" t="inlineStr">
        <is>
          <t>CL-003</t>
        </is>
      </c>
      <c r="F189" t="inlineStr">
        <is>
          <t>Arco Norte S.R.L.</t>
        </is>
      </c>
      <c r="G189" t="inlineStr">
        <is>
          <t>PyME servicios recurrentes</t>
        </is>
      </c>
      <c r="H189" t="inlineStr">
        <is>
          <t>SRV-004</t>
        </is>
      </c>
      <c r="I189" t="inlineStr">
        <is>
          <t>Reporte mensual / tablero de control</t>
        </is>
      </c>
      <c r="J189" t="inlineStr">
        <is>
          <t>USD</t>
        </is>
      </c>
      <c r="K189" t="n">
        <v>1300</v>
      </c>
      <c r="L189" t="n">
        <v>1300</v>
      </c>
      <c r="M189" t="n">
        <v>0</v>
      </c>
      <c r="N189" t="n">
        <v>1600</v>
      </c>
      <c r="O189" t="n">
        <v>0</v>
      </c>
      <c r="P189" t="n">
        <v>0</v>
      </c>
      <c r="Q189">
        <f>IF(M174&lt;=0,"Cobrada",IF(L174&gt;0,"Parcial",IF(C174&lt;Resumen!$B$3,"Vencida",IF(C174&lt;=Resumen!$B$3+15,"Por vencer","Pendiente"))))</f>
        <v/>
      </c>
      <c r="R189" t="n">
        <v>0</v>
      </c>
      <c r="S189">
        <f>IF(M174&lt;=0,"Sin prioridad",IF(R174&gt;60,"Alta",IF(R174&gt;30,"Media",IF(C174&lt;=Resumen!$B$3+15,"Media","Baja"))))</f>
        <v/>
      </c>
      <c r="T189" t="inlineStr">
        <is>
          <t>Sofía</t>
        </is>
      </c>
      <c r="U189" t="inlineStr">
        <is>
          <t>Sin acción</t>
        </is>
      </c>
      <c r="V189" t="inlineStr">
        <is>
          <t>Pendiente de confirmación de pago</t>
        </is>
      </c>
      <c r="Y189" t="inlineStr">
        <is>
          <t>2026-T2</t>
        </is>
      </c>
      <c r="Z189">
        <f>IF(AND(M174&gt;0,C174&lt;Resumen!$B$3),"Sí","No")</f>
        <v/>
      </c>
      <c r="AA189">
        <f>IF(AND(L174&gt;0,M174&gt;0),"Sí","No")</f>
        <v/>
      </c>
      <c r="AB189">
        <f>IF(J174="USD","Sí","No")</f>
        <v/>
      </c>
    </row>
    <row r="190">
      <c r="A190" t="inlineStr">
        <is>
          <t>FAC-00175</t>
        </is>
      </c>
      <c r="B190" s="33" t="n">
        <v>46135</v>
      </c>
      <c r="C190" s="33" t="n">
        <v>46180</v>
      </c>
      <c r="D190" s="33" t="n">
        <v>46198</v>
      </c>
      <c r="E190" t="inlineStr">
        <is>
          <t>CL-016</t>
        </is>
      </c>
      <c r="F190" t="inlineStr">
        <is>
          <t>Patagonia Gestión S.R.L.</t>
        </is>
      </c>
      <c r="G190" t="inlineStr">
        <is>
          <t>PyME servicios recurrentes</t>
        </is>
      </c>
      <c r="H190" t="inlineStr">
        <is>
          <t>SRV-004</t>
        </is>
      </c>
      <c r="I190" t="inlineStr">
        <is>
          <t>Reporte mensual / tablero de control</t>
        </is>
      </c>
      <c r="J190" t="inlineStr">
        <is>
          <t>USD</t>
        </is>
      </c>
      <c r="K190" t="n">
        <v>1150</v>
      </c>
      <c r="L190" t="n">
        <v>1150</v>
      </c>
      <c r="M190" t="n">
        <v>0</v>
      </c>
      <c r="N190" t="n">
        <v>1600</v>
      </c>
      <c r="O190" t="n">
        <v>0</v>
      </c>
      <c r="P190" t="n">
        <v>0</v>
      </c>
      <c r="Q190">
        <f>IF(M176&lt;=0,"Cobrada",IF(L176&gt;0,"Parcial",IF(C176&lt;Resumen!$B$3,"Vencida",IF(C176&lt;=Resumen!$B$3+15,"Por vencer","Pendiente"))))</f>
        <v/>
      </c>
      <c r="R190" t="n">
        <v>0</v>
      </c>
      <c r="S190">
        <f>IF(M176&lt;=0,"Sin prioridad",IF(R176&gt;60,"Alta",IF(R176&gt;30,"Media",IF(C176&lt;=Resumen!$B$3+15,"Media","Baja"))))</f>
        <v/>
      </c>
      <c r="T190" t="inlineStr">
        <is>
          <t>Matías</t>
        </is>
      </c>
      <c r="U190" t="inlineStr">
        <is>
          <t>Sin acción</t>
        </is>
      </c>
      <c r="V190" t="inlineStr">
        <is>
          <t>Cliente solicita reenvío de factura</t>
        </is>
      </c>
      <c r="Y190" t="inlineStr">
        <is>
          <t>2026-T2</t>
        </is>
      </c>
      <c r="Z190">
        <f>IF(AND(M176&gt;0,C176&lt;Resumen!$B$3),"Sí","No")</f>
        <v/>
      </c>
      <c r="AA190">
        <f>IF(AND(L176&gt;0,M176&gt;0),"Sí","No")</f>
        <v/>
      </c>
      <c r="AB190">
        <f>IF(J176="USD","Sí","No")</f>
        <v/>
      </c>
    </row>
    <row r="191">
      <c r="A191" t="inlineStr">
        <is>
          <t>FAC-00182</t>
        </is>
      </c>
      <c r="B191" s="33" t="n">
        <v>46137</v>
      </c>
      <c r="C191" s="33" t="n">
        <v>46182</v>
      </c>
      <c r="D191" s="33" t="n">
        <v>46191</v>
      </c>
      <c r="E191" t="inlineStr">
        <is>
          <t>CL-022</t>
        </is>
      </c>
      <c r="F191" t="inlineStr">
        <is>
          <t>Valle Operativo S.R.L.</t>
        </is>
      </c>
      <c r="G191" t="inlineStr">
        <is>
          <t>PyME servicios recurrentes</t>
        </is>
      </c>
      <c r="H191" t="inlineStr">
        <is>
          <t>SRV-002</t>
        </is>
      </c>
      <c r="I191" t="inlineStr">
        <is>
          <t>Soporte operativo</t>
        </is>
      </c>
      <c r="J191" t="inlineStr">
        <is>
          <t>ARS</t>
        </is>
      </c>
      <c r="K191" t="n">
        <v>318000</v>
      </c>
      <c r="L191" t="n">
        <v>318000</v>
      </c>
      <c r="M191" t="n">
        <v>0</v>
      </c>
      <c r="N191" t="n">
        <v>1600</v>
      </c>
      <c r="O191" t="n">
        <v>0</v>
      </c>
      <c r="P191" t="n">
        <v>0</v>
      </c>
      <c r="Q191">
        <f>IF(M183&lt;=0,"Cobrada",IF(L183&gt;0,"Parcial",IF(C183&lt;Resumen!$B$3,"Vencida",IF(C183&lt;=Resumen!$B$3+15,"Por vencer","Pendiente"))))</f>
        <v/>
      </c>
      <c r="R191" t="n">
        <v>0</v>
      </c>
      <c r="S191">
        <f>IF(M183&lt;=0,"Sin prioridad",IF(R183&gt;60,"Alta",IF(R183&gt;30,"Media",IF(C183&lt;=Resumen!$B$3+15,"Media","Baja"))))</f>
        <v/>
      </c>
      <c r="T191" t="inlineStr">
        <is>
          <t>Ana</t>
        </is>
      </c>
      <c r="U191" t="inlineStr">
        <is>
          <t>Sin acción</t>
        </is>
      </c>
      <c r="V191" t="inlineStr">
        <is>
          <t>Cliente solicita reenvío de factura</t>
        </is>
      </c>
      <c r="Y191" t="inlineStr">
        <is>
          <t>2026-T2</t>
        </is>
      </c>
      <c r="Z191">
        <f>IF(AND(M183&gt;0,C183&lt;Resumen!$B$3),"Sí","No")</f>
        <v/>
      </c>
      <c r="AA191">
        <f>IF(AND(L183&gt;0,M183&gt;0),"Sí","No")</f>
        <v/>
      </c>
      <c r="AB191">
        <f>IF(J183="USD","Sí","No")</f>
        <v/>
      </c>
    </row>
    <row r="192">
      <c r="A192" t="inlineStr">
        <is>
          <t>FAC-00184</t>
        </is>
      </c>
      <c r="B192" s="33" t="n">
        <v>46139</v>
      </c>
      <c r="C192" s="33" t="n">
        <v>46154</v>
      </c>
      <c r="E192" t="inlineStr">
        <is>
          <t>CL-017</t>
        </is>
      </c>
      <c r="F192" t="inlineStr">
        <is>
          <t>Punto Sur S.A.</t>
        </is>
      </c>
      <c r="G192" t="inlineStr">
        <is>
          <t>PyME servicios recurrentes</t>
        </is>
      </c>
      <c r="H192" t="inlineStr">
        <is>
          <t>SRV-003</t>
        </is>
      </c>
      <c r="I192" t="inlineStr">
        <is>
          <t>Consultoría de gestión</t>
        </is>
      </c>
      <c r="J192" t="inlineStr">
        <is>
          <t>USD</t>
        </is>
      </c>
      <c r="K192" t="n">
        <v>2200</v>
      </c>
      <c r="L192" t="n">
        <v>0</v>
      </c>
      <c r="M192" t="n">
        <v>0</v>
      </c>
      <c r="N192" t="n">
        <v>1600</v>
      </c>
      <c r="O192" t="n">
        <v>0</v>
      </c>
      <c r="P192" t="n">
        <v>0</v>
      </c>
      <c r="Q192">
        <f>IF(M185&lt;=0,"Cobrada",IF(L185&gt;0,"Parcial",IF(C185&lt;Resumen!$B$3,"Vencida",IF(C185&lt;=Resumen!$B$3+15,"Por vencer","Pendiente"))))</f>
        <v/>
      </c>
      <c r="R192" t="n">
        <v>0</v>
      </c>
      <c r="S192">
        <f>IF(M185&lt;=0,"Sin prioridad",IF(R185&gt;60,"Alta",IF(R185&gt;30,"Media",IF(C185&lt;=Resumen!$B$3+15,"Media","Baja"))))</f>
        <v/>
      </c>
      <c r="T192" t="inlineStr">
        <is>
          <t>Sofía</t>
        </is>
      </c>
      <c r="U192" t="inlineStr">
        <is>
          <t>Escalar gestión</t>
        </is>
      </c>
      <c r="V192" t="inlineStr">
        <is>
          <t>Pago prometido para próxima semana</t>
        </is>
      </c>
      <c r="Y192" t="inlineStr">
        <is>
          <t>2026-T2</t>
        </is>
      </c>
      <c r="Z192">
        <f>IF(AND(M185&gt;0,C185&lt;Resumen!$B$3),"Sí","No")</f>
        <v/>
      </c>
      <c r="AA192">
        <f>IF(AND(L185&gt;0,M185&gt;0),"Sí","No")</f>
        <v/>
      </c>
      <c r="AB192">
        <f>IF(J185="USD","Sí","No")</f>
        <v/>
      </c>
    </row>
    <row r="193">
      <c r="A193" t="inlineStr">
        <is>
          <t>FAC-00199</t>
        </is>
      </c>
      <c r="B193" s="33" t="n">
        <v>46143</v>
      </c>
      <c r="C193" s="33" t="n">
        <v>46188</v>
      </c>
      <c r="D193" s="33" t="n">
        <v>46195</v>
      </c>
      <c r="E193" t="inlineStr">
        <is>
          <t>CL-010</t>
        </is>
      </c>
      <c r="F193" t="inlineStr">
        <is>
          <t>Horizonte Servicios S.R.L.</t>
        </is>
      </c>
      <c r="G193" t="inlineStr">
        <is>
          <t>PyME servicios recurrentes</t>
        </is>
      </c>
      <c r="H193" t="inlineStr">
        <is>
          <t>SRV-004</t>
        </is>
      </c>
      <c r="I193" t="inlineStr">
        <is>
          <t>Reporte mensual / tablero de control</t>
        </is>
      </c>
      <c r="J193" t="inlineStr">
        <is>
          <t>USD</t>
        </is>
      </c>
      <c r="K193" t="n">
        <v>1500</v>
      </c>
      <c r="L193" t="n">
        <v>733.45</v>
      </c>
      <c r="M193" t="n">
        <v>0</v>
      </c>
      <c r="N193" t="n">
        <v>1653</v>
      </c>
      <c r="O193" t="n">
        <v>0</v>
      </c>
      <c r="P193" t="n">
        <v>0</v>
      </c>
      <c r="Q193">
        <f>IF(M200&lt;=0,"Cobrada",IF(L200&gt;0,"Parcial",IF(C200&lt;Resumen!$B$3,"Vencida",IF(C200&lt;=Resumen!$B$3+15,"Por vencer","Pendiente"))))</f>
        <v/>
      </c>
      <c r="R193" t="n">
        <v>0</v>
      </c>
      <c r="S193">
        <f>IF(M200&lt;=0,"Sin prioridad",IF(R200&gt;60,"Alta",IF(R200&gt;30,"Media",IF(C200&lt;=Resumen!$B$3+15,"Media","Baja"))))</f>
        <v/>
      </c>
      <c r="T193" t="inlineStr">
        <is>
          <t>Matías</t>
        </is>
      </c>
      <c r="U193" t="inlineStr">
        <is>
          <t>Reclamar saldo parcial</t>
        </is>
      </c>
      <c r="V193" t="inlineStr">
        <is>
          <t>Cliente solicita reenvío de factura</t>
        </is>
      </c>
      <c r="Y193" t="inlineStr">
        <is>
          <t>2026-T2</t>
        </is>
      </c>
      <c r="Z193">
        <f>IF(AND(M200&gt;0,C200&lt;Resumen!$B$3),"Sí","No")</f>
        <v/>
      </c>
      <c r="AA193">
        <f>IF(AND(L200&gt;0,M200&gt;0),"Sí","No")</f>
        <v/>
      </c>
      <c r="AB193">
        <f>IF(J200="USD","Sí","No")</f>
        <v/>
      </c>
    </row>
    <row r="194">
      <c r="A194" t="inlineStr">
        <is>
          <t>FAC-00203</t>
        </is>
      </c>
      <c r="B194" s="33" t="n">
        <v>46144</v>
      </c>
      <c r="C194" s="33" t="n">
        <v>46189</v>
      </c>
      <c r="E194" t="inlineStr">
        <is>
          <t>CL-024</t>
        </is>
      </c>
      <c r="F194" t="inlineStr">
        <is>
          <t>Zonda Gestión S.R.L.</t>
        </is>
      </c>
      <c r="G194" t="inlineStr">
        <is>
          <t>PyME servicios recurrentes</t>
        </is>
      </c>
      <c r="H194" t="inlineStr">
        <is>
          <t>SRV-002</t>
        </is>
      </c>
      <c r="I194" t="inlineStr">
        <is>
          <t>Soporte operativo</t>
        </is>
      </c>
      <c r="J194" t="inlineStr">
        <is>
          <t>ARS</t>
        </is>
      </c>
      <c r="K194" t="n">
        <v>365000</v>
      </c>
      <c r="L194" t="n">
        <v>0</v>
      </c>
      <c r="M194" t="n">
        <v>0</v>
      </c>
      <c r="N194" t="n">
        <v>1653</v>
      </c>
      <c r="O194" t="n">
        <v>0</v>
      </c>
      <c r="P194" t="n">
        <v>0</v>
      </c>
      <c r="Q194">
        <f>IF(M204&lt;=0,"Cobrada",IF(L204&gt;0,"Parcial",IF(C204&lt;Resumen!$B$3,"Vencida",IF(C204&lt;=Resumen!$B$3+15,"Por vencer","Pendiente"))))</f>
        <v/>
      </c>
      <c r="R194" t="n">
        <v>0</v>
      </c>
      <c r="S194">
        <f>IF(M204&lt;=0,"Sin prioridad",IF(R204&gt;60,"Alta",IF(R204&gt;30,"Media",IF(C204&lt;=Resumen!$B$3+15,"Media","Baja"))))</f>
        <v/>
      </c>
      <c r="T194" t="inlineStr">
        <is>
          <t>Sofía</t>
        </is>
      </c>
      <c r="U194" t="inlineStr">
        <is>
          <t>Llamar al cliente</t>
        </is>
      </c>
      <c r="Y194" t="inlineStr">
        <is>
          <t>2026-T2</t>
        </is>
      </c>
      <c r="Z194">
        <f>IF(AND(M204&gt;0,C204&lt;Resumen!$B$3),"Sí","No")</f>
        <v/>
      </c>
      <c r="AA194">
        <f>IF(AND(L204&gt;0,M204&gt;0),"Sí","No")</f>
        <v/>
      </c>
      <c r="AB194">
        <f>IF(J204="USD","Sí","No")</f>
        <v/>
      </c>
    </row>
    <row r="195">
      <c r="A195" t="inlineStr">
        <is>
          <t>FAC-00201</t>
        </is>
      </c>
      <c r="B195" s="33" t="n">
        <v>46145</v>
      </c>
      <c r="C195" s="33" t="n">
        <v>46190</v>
      </c>
      <c r="E195" t="inlineStr">
        <is>
          <t>CL-022</t>
        </is>
      </c>
      <c r="F195" t="inlineStr">
        <is>
          <t>Valle Operativo S.R.L.</t>
        </is>
      </c>
      <c r="G195" t="inlineStr">
        <is>
          <t>PyME servicios recurrentes</t>
        </is>
      </c>
      <c r="H195" t="inlineStr">
        <is>
          <t>SRV-004</t>
        </is>
      </c>
      <c r="I195" t="inlineStr">
        <is>
          <t>Reporte mensual / tablero de control</t>
        </is>
      </c>
      <c r="J195" t="inlineStr">
        <is>
          <t>USD</t>
        </is>
      </c>
      <c r="K195" t="n">
        <v>1550</v>
      </c>
      <c r="L195" t="n">
        <v>0</v>
      </c>
      <c r="M195" t="n">
        <v>0</v>
      </c>
      <c r="N195" t="n">
        <v>1653</v>
      </c>
      <c r="O195" t="n">
        <v>0</v>
      </c>
      <c r="P195" t="n">
        <v>0</v>
      </c>
      <c r="Q195">
        <f>IF(M202&lt;=0,"Cobrada",IF(L202&gt;0,"Parcial",IF(C202&lt;Resumen!$B$3,"Vencida",IF(C202&lt;=Resumen!$B$3+15,"Por vencer","Pendiente"))))</f>
        <v/>
      </c>
      <c r="R195" t="n">
        <v>0</v>
      </c>
      <c r="S195">
        <f>IF(M202&lt;=0,"Sin prioridad",IF(R202&gt;60,"Alta",IF(R202&gt;30,"Media",IF(C202&lt;=Resumen!$B$3+15,"Media","Baja"))))</f>
        <v/>
      </c>
      <c r="T195" t="inlineStr">
        <is>
          <t>Ana</t>
        </is>
      </c>
      <c r="U195" t="inlineStr">
        <is>
          <t>Reenviar factura</t>
        </is>
      </c>
      <c r="Y195" t="inlineStr">
        <is>
          <t>2026-T2</t>
        </is>
      </c>
      <c r="Z195">
        <f>IF(AND(M202&gt;0,C202&lt;Resumen!$B$3),"Sí","No")</f>
        <v/>
      </c>
      <c r="AA195">
        <f>IF(AND(L202&gt;0,M202&gt;0),"Sí","No")</f>
        <v/>
      </c>
      <c r="AB195">
        <f>IF(J202="USD","Sí","No")</f>
        <v/>
      </c>
    </row>
    <row r="196">
      <c r="A196" t="inlineStr">
        <is>
          <t>FAC-00205</t>
        </is>
      </c>
      <c r="B196" s="33" t="n">
        <v>46147</v>
      </c>
      <c r="C196" s="33" t="n">
        <v>46162</v>
      </c>
      <c r="D196" s="33" t="n">
        <v>46196</v>
      </c>
      <c r="E196" t="inlineStr">
        <is>
          <t>CL-001</t>
        </is>
      </c>
      <c r="F196" t="inlineStr">
        <is>
          <t>Altos del Centro S.R.L.</t>
        </is>
      </c>
      <c r="G196" t="inlineStr">
        <is>
          <t>PyME servicios recurrentes</t>
        </is>
      </c>
      <c r="H196" t="inlineStr">
        <is>
          <t>SRV-001</t>
        </is>
      </c>
      <c r="I196" t="inlineStr">
        <is>
          <t>Abono mensual administrativo</t>
        </is>
      </c>
      <c r="J196" t="inlineStr">
        <is>
          <t>USD</t>
        </is>
      </c>
      <c r="K196" t="n">
        <v>300</v>
      </c>
      <c r="L196" t="n">
        <v>112.23</v>
      </c>
      <c r="M196" t="n">
        <v>0</v>
      </c>
      <c r="N196" t="n">
        <v>1653</v>
      </c>
      <c r="O196" t="n">
        <v>0</v>
      </c>
      <c r="P196" t="n">
        <v>0</v>
      </c>
      <c r="Q196">
        <f>IF(M206&lt;=0,"Cobrada",IF(L206&gt;0,"Parcial",IF(C206&lt;Resumen!$B$3,"Vencida",IF(C206&lt;=Resumen!$B$3+15,"Por vencer","Pendiente"))))</f>
        <v/>
      </c>
      <c r="R196" t="n">
        <v>0</v>
      </c>
      <c r="S196">
        <f>IF(M206&lt;=0,"Sin prioridad",IF(R206&gt;60,"Alta",IF(R206&gt;30,"Media",IF(C206&lt;=Resumen!$B$3+15,"Media","Baja"))))</f>
        <v/>
      </c>
      <c r="T196" t="inlineStr">
        <is>
          <t>Carlos</t>
        </is>
      </c>
      <c r="U196" t="inlineStr">
        <is>
          <t>Reclamar saldo parcial</t>
        </is>
      </c>
      <c r="V196" t="inlineStr">
        <is>
          <t>Sin respuesta del cliente</t>
        </is>
      </c>
      <c r="Y196" t="inlineStr">
        <is>
          <t>2026-T2</t>
        </is>
      </c>
      <c r="Z196">
        <f>IF(AND(M206&gt;0,C206&lt;Resumen!$B$3),"Sí","No")</f>
        <v/>
      </c>
      <c r="AA196">
        <f>IF(AND(L206&gt;0,M206&gt;0),"Sí","No")</f>
        <v/>
      </c>
      <c r="AB196">
        <f>IF(J206="USD","Sí","No")</f>
        <v/>
      </c>
    </row>
    <row r="197">
      <c r="A197" t="inlineStr">
        <is>
          <t>FAC-00208</t>
        </is>
      </c>
      <c r="B197" s="33" t="n">
        <v>46148</v>
      </c>
      <c r="C197" s="33" t="n">
        <v>46193</v>
      </c>
      <c r="E197" t="inlineStr">
        <is>
          <t>CL-024</t>
        </is>
      </c>
      <c r="F197" t="inlineStr">
        <is>
          <t>Zonda Gestión S.R.L.</t>
        </is>
      </c>
      <c r="G197" t="inlineStr">
        <is>
          <t>PyME servicios recurrentes</t>
        </is>
      </c>
      <c r="H197" t="inlineStr">
        <is>
          <t>SRV-002</t>
        </is>
      </c>
      <c r="I197" t="inlineStr">
        <is>
          <t>Soporte operativo</t>
        </is>
      </c>
      <c r="J197" t="inlineStr">
        <is>
          <t>ARS</t>
        </is>
      </c>
      <c r="K197" t="n">
        <v>783000</v>
      </c>
      <c r="L197" t="n">
        <v>0</v>
      </c>
      <c r="M197" t="n">
        <v>0</v>
      </c>
      <c r="N197" t="n">
        <v>1653</v>
      </c>
      <c r="O197" t="n">
        <v>0</v>
      </c>
      <c r="P197" t="n">
        <v>0</v>
      </c>
      <c r="Q197">
        <f>IF(M209&lt;=0,"Cobrada",IF(L209&gt;0,"Parcial",IF(C209&lt;Resumen!$B$3,"Vencida",IF(C209&lt;=Resumen!$B$3+15,"Por vencer","Pendiente"))))</f>
        <v/>
      </c>
      <c r="R197" t="n">
        <v>0</v>
      </c>
      <c r="S197">
        <f>IF(M209&lt;=0,"Sin prioridad",IF(R209&gt;60,"Alta",IF(R209&gt;30,"Media",IF(C209&lt;=Resumen!$B$3+15,"Media","Baja"))))</f>
        <v/>
      </c>
      <c r="T197" t="inlineStr">
        <is>
          <t>Sofía</t>
        </is>
      </c>
      <c r="U197" t="inlineStr">
        <is>
          <t>Enviar recordatorio</t>
        </is>
      </c>
      <c r="Y197" t="inlineStr">
        <is>
          <t>2026-T2</t>
        </is>
      </c>
      <c r="Z197">
        <f>IF(AND(M209&gt;0,C209&lt;Resumen!$B$3),"Sí","No")</f>
        <v/>
      </c>
      <c r="AA197">
        <f>IF(AND(L209&gt;0,M209&gt;0),"Sí","No")</f>
        <v/>
      </c>
      <c r="AB197">
        <f>IF(J209="USD","Sí","No")</f>
        <v/>
      </c>
    </row>
    <row r="198">
      <c r="A198" t="inlineStr">
        <is>
          <t>FAC-00193</t>
        </is>
      </c>
      <c r="B198" s="33" t="n">
        <v>46153</v>
      </c>
      <c r="C198" s="33" t="n">
        <v>46168</v>
      </c>
      <c r="D198" s="33" t="n">
        <v>46170</v>
      </c>
      <c r="E198" t="inlineStr">
        <is>
          <t>CL-005</t>
        </is>
      </c>
      <c r="F198" t="inlineStr">
        <is>
          <t>Cerro Azul S.R.L.</t>
        </is>
      </c>
      <c r="G198" t="inlineStr">
        <is>
          <t>PyME servicios recurrentes</t>
        </is>
      </c>
      <c r="H198" t="inlineStr">
        <is>
          <t>SRV-001</t>
        </is>
      </c>
      <c r="I198" t="inlineStr">
        <is>
          <t>Abono mensual administrativo</t>
        </is>
      </c>
      <c r="J198" t="inlineStr">
        <is>
          <t>ARS</t>
        </is>
      </c>
      <c r="K198" t="n">
        <v>442000</v>
      </c>
      <c r="L198" t="n">
        <v>442000</v>
      </c>
      <c r="M198" t="n">
        <v>0</v>
      </c>
      <c r="N198" t="n">
        <v>1653</v>
      </c>
      <c r="O198" t="n">
        <v>0</v>
      </c>
      <c r="P198" t="n">
        <v>0</v>
      </c>
      <c r="Q198">
        <f>IF(M194&lt;=0,"Cobrada",IF(L194&gt;0,"Parcial",IF(C194&lt;Resumen!$B$3,"Vencida",IF(C194&lt;=Resumen!$B$3+15,"Por vencer","Pendiente"))))</f>
        <v/>
      </c>
      <c r="R198" t="n">
        <v>0</v>
      </c>
      <c r="S198">
        <f>IF(M194&lt;=0,"Sin prioridad",IF(R194&gt;60,"Alta",IF(R194&gt;30,"Media",IF(C194&lt;=Resumen!$B$3+15,"Media","Baja"))))</f>
        <v/>
      </c>
      <c r="T198" t="inlineStr">
        <is>
          <t>Ana</t>
        </is>
      </c>
      <c r="U198" t="inlineStr">
        <is>
          <t>Sin acción</t>
        </is>
      </c>
      <c r="Y198" t="inlineStr">
        <is>
          <t>2026-T2</t>
        </is>
      </c>
      <c r="Z198">
        <f>IF(AND(M194&gt;0,C194&lt;Resumen!$B$3),"Sí","No")</f>
        <v/>
      </c>
      <c r="AA198">
        <f>IF(AND(L194&gt;0,M194&gt;0),"Sí","No")</f>
        <v/>
      </c>
      <c r="AB198">
        <f>IF(J194="USD","Sí","No")</f>
        <v/>
      </c>
    </row>
    <row r="199">
      <c r="A199" t="inlineStr">
        <is>
          <t>FAC-00204</t>
        </is>
      </c>
      <c r="B199" s="33" t="n">
        <v>46156</v>
      </c>
      <c r="C199" s="33" t="n">
        <v>46171</v>
      </c>
      <c r="D199" s="33" t="n">
        <v>46187</v>
      </c>
      <c r="E199" t="inlineStr">
        <is>
          <t>CL-001</t>
        </is>
      </c>
      <c r="F199" t="inlineStr">
        <is>
          <t>Altos del Centro S.R.L.</t>
        </is>
      </c>
      <c r="G199" t="inlineStr">
        <is>
          <t>PyME servicios recurrentes</t>
        </is>
      </c>
      <c r="H199" t="inlineStr">
        <is>
          <t>SRV-005</t>
        </is>
      </c>
      <c r="I199" t="inlineStr">
        <is>
          <t>Servicio extraordinario puntual</t>
        </is>
      </c>
      <c r="J199" t="inlineStr">
        <is>
          <t>ARS</t>
        </is>
      </c>
      <c r="K199" t="n">
        <v>1146000</v>
      </c>
      <c r="L199" t="n">
        <v>1146000</v>
      </c>
      <c r="M199" t="n">
        <v>0</v>
      </c>
      <c r="N199" t="n">
        <v>1653</v>
      </c>
      <c r="O199" t="n">
        <v>0</v>
      </c>
      <c r="P199" t="n">
        <v>0</v>
      </c>
      <c r="Q199">
        <f>IF(M205&lt;=0,"Cobrada",IF(L205&gt;0,"Parcial",IF(C205&lt;Resumen!$B$3,"Vencida",IF(C205&lt;=Resumen!$B$3+15,"Por vencer","Pendiente"))))</f>
        <v/>
      </c>
      <c r="R199" t="n">
        <v>0</v>
      </c>
      <c r="S199">
        <f>IF(M205&lt;=0,"Sin prioridad",IF(R205&gt;60,"Alta",IF(R205&gt;30,"Media",IF(C205&lt;=Resumen!$B$3+15,"Media","Baja"))))</f>
        <v/>
      </c>
      <c r="T199" t="inlineStr">
        <is>
          <t>Carlos</t>
        </is>
      </c>
      <c r="U199" t="inlineStr">
        <is>
          <t>Sin acción</t>
        </is>
      </c>
      <c r="V199" t="inlineStr">
        <is>
          <t>Pago prometido para próxima semana</t>
        </is>
      </c>
      <c r="Y199" t="inlineStr">
        <is>
          <t>2026-T2</t>
        </is>
      </c>
      <c r="Z199">
        <f>IF(AND(M205&gt;0,C205&lt;Resumen!$B$3),"Sí","No")</f>
        <v/>
      </c>
      <c r="AA199">
        <f>IF(AND(L205&gt;0,M205&gt;0),"Sí","No")</f>
        <v/>
      </c>
      <c r="AB199">
        <f>IF(J205="USD","Sí","No")</f>
        <v/>
      </c>
    </row>
    <row r="200">
      <c r="A200" t="inlineStr">
        <is>
          <t>FAC-00194</t>
        </is>
      </c>
      <c r="B200" s="33" t="n">
        <v>46157</v>
      </c>
      <c r="C200" s="33" t="n">
        <v>46202</v>
      </c>
      <c r="D200" s="33" t="n">
        <v>46202</v>
      </c>
      <c r="E200" t="inlineStr">
        <is>
          <t>CL-012</t>
        </is>
      </c>
      <c r="F200" t="inlineStr">
        <is>
          <t>Litoral Soluciones S.R.L.</t>
        </is>
      </c>
      <c r="G200" t="inlineStr">
        <is>
          <t>PyME servicios recurrentes</t>
        </is>
      </c>
      <c r="H200" t="inlineStr">
        <is>
          <t>SRV-001</t>
        </is>
      </c>
      <c r="I200" t="inlineStr">
        <is>
          <t>Abono mensual administrativo</t>
        </is>
      </c>
      <c r="J200" t="inlineStr">
        <is>
          <t>ARS</t>
        </is>
      </c>
      <c r="K200" t="n">
        <v>787000</v>
      </c>
      <c r="L200" t="n">
        <v>441366.53</v>
      </c>
      <c r="M200" t="n">
        <v>0</v>
      </c>
      <c r="N200" t="n">
        <v>1653</v>
      </c>
      <c r="O200" t="n">
        <v>0</v>
      </c>
      <c r="P200" t="n">
        <v>0</v>
      </c>
      <c r="Q200">
        <f>IF(M195&lt;=0,"Cobrada",IF(L195&gt;0,"Parcial",IF(C195&lt;Resumen!$B$3,"Vencida",IF(C195&lt;=Resumen!$B$3+15,"Por vencer","Pendiente"))))</f>
        <v/>
      </c>
      <c r="R200" t="n">
        <v>0</v>
      </c>
      <c r="S200">
        <f>IF(M195&lt;=0,"Sin prioridad",IF(R195&gt;60,"Alta",IF(R195&gt;30,"Media",IF(C195&lt;=Resumen!$B$3+15,"Media","Baja"))))</f>
        <v/>
      </c>
      <c r="T200" t="inlineStr">
        <is>
          <t>Matías</t>
        </is>
      </c>
      <c r="U200" t="inlineStr">
        <is>
          <t>Reclamar saldo parcial</t>
        </is>
      </c>
      <c r="V200" t="inlineStr">
        <is>
          <t>Sin respuesta del cliente</t>
        </is>
      </c>
      <c r="Y200" t="inlineStr">
        <is>
          <t>2026-T2</t>
        </is>
      </c>
      <c r="Z200">
        <f>IF(AND(M195&gt;0,C195&lt;Resumen!$B$3),"Sí","No")</f>
        <v/>
      </c>
      <c r="AA200">
        <f>IF(AND(L195&gt;0,M195&gt;0),"Sí","No")</f>
        <v/>
      </c>
      <c r="AB200">
        <f>IF(J195="USD","Sí","No")</f>
        <v/>
      </c>
    </row>
    <row r="201">
      <c r="A201" t="inlineStr">
        <is>
          <t>FAC-00192</t>
        </is>
      </c>
      <c r="B201" s="33" t="n">
        <v>46158</v>
      </c>
      <c r="C201" s="33" t="n">
        <v>46173</v>
      </c>
      <c r="D201" s="33" t="n">
        <v>46188</v>
      </c>
      <c r="E201" t="inlineStr">
        <is>
          <t>CL-001</t>
        </is>
      </c>
      <c r="F201" t="inlineStr">
        <is>
          <t>Altos del Centro S.R.L.</t>
        </is>
      </c>
      <c r="G201" t="inlineStr">
        <is>
          <t>PyME servicios recurrentes</t>
        </is>
      </c>
      <c r="H201" t="inlineStr">
        <is>
          <t>SRV-001</t>
        </is>
      </c>
      <c r="I201" t="inlineStr">
        <is>
          <t>Abono mensual administrativo</t>
        </is>
      </c>
      <c r="J201" t="inlineStr">
        <is>
          <t>USD</t>
        </is>
      </c>
      <c r="K201" t="n">
        <v>300</v>
      </c>
      <c r="L201" t="n">
        <v>300</v>
      </c>
      <c r="M201" t="n">
        <v>0</v>
      </c>
      <c r="N201" t="n">
        <v>1653</v>
      </c>
      <c r="O201" t="n">
        <v>0</v>
      </c>
      <c r="P201" t="n">
        <v>0</v>
      </c>
      <c r="Q201">
        <f>IF(M193&lt;=0,"Cobrada",IF(L193&gt;0,"Parcial",IF(C193&lt;Resumen!$B$3,"Vencida",IF(C193&lt;=Resumen!$B$3+15,"Por vencer","Pendiente"))))</f>
        <v/>
      </c>
      <c r="R201" t="n">
        <v>0</v>
      </c>
      <c r="S201">
        <f>IF(M193&lt;=0,"Sin prioridad",IF(R193&gt;60,"Alta",IF(R193&gt;30,"Media",IF(C193&lt;=Resumen!$B$3+15,"Media","Baja"))))</f>
        <v/>
      </c>
      <c r="T201" t="inlineStr">
        <is>
          <t>Carlos</t>
        </is>
      </c>
      <c r="U201" t="inlineStr">
        <is>
          <t>Sin acción</t>
        </is>
      </c>
      <c r="V201" t="inlineStr">
        <is>
          <t>Cliente solicita reenvío de factura</t>
        </is>
      </c>
      <c r="Y201" t="inlineStr">
        <is>
          <t>2026-T2</t>
        </is>
      </c>
      <c r="Z201">
        <f>IF(AND(M193&gt;0,C193&lt;Resumen!$B$3),"Sí","No")</f>
        <v/>
      </c>
      <c r="AA201">
        <f>IF(AND(L193&gt;0,M193&gt;0),"Sí","No")</f>
        <v/>
      </c>
      <c r="AB201">
        <f>IF(J193="USD","Sí","No")</f>
        <v/>
      </c>
    </row>
    <row r="202">
      <c r="A202" t="inlineStr">
        <is>
          <t>FAC-00202</t>
        </is>
      </c>
      <c r="B202" s="33" t="n">
        <v>46159</v>
      </c>
      <c r="C202" s="33" t="n">
        <v>46174</v>
      </c>
      <c r="D202" s="33" t="n">
        <v>46172</v>
      </c>
      <c r="E202" t="inlineStr">
        <is>
          <t>CL-011</t>
        </is>
      </c>
      <c r="F202" t="inlineStr">
        <is>
          <t>Impulso Gestión S.A.S.</t>
        </is>
      </c>
      <c r="G202" t="inlineStr">
        <is>
          <t>PyME servicios recurrentes</t>
        </is>
      </c>
      <c r="H202" t="inlineStr">
        <is>
          <t>SRV-002</t>
        </is>
      </c>
      <c r="I202" t="inlineStr">
        <is>
          <t>Soporte operativo</t>
        </is>
      </c>
      <c r="J202" t="inlineStr">
        <is>
          <t>ARS</t>
        </is>
      </c>
      <c r="K202" t="n">
        <v>320000</v>
      </c>
      <c r="L202" t="n">
        <v>320000</v>
      </c>
      <c r="M202" t="n">
        <v>0</v>
      </c>
      <c r="N202" t="n">
        <v>1653</v>
      </c>
      <c r="O202" t="n">
        <v>0</v>
      </c>
      <c r="P202" t="n">
        <v>0</v>
      </c>
      <c r="Q202">
        <f>IF(M203&lt;=0,"Cobrada",IF(L203&gt;0,"Parcial",IF(C203&lt;Resumen!$B$3,"Vencida",IF(C203&lt;=Resumen!$B$3+15,"Por vencer","Pendiente"))))</f>
        <v/>
      </c>
      <c r="R202" t="n">
        <v>0</v>
      </c>
      <c r="S202">
        <f>IF(M203&lt;=0,"Sin prioridad",IF(R203&gt;60,"Alta",IF(R203&gt;30,"Media",IF(C203&lt;=Resumen!$B$3+15,"Media","Baja"))))</f>
        <v/>
      </c>
      <c r="T202" t="inlineStr">
        <is>
          <t>Carlos</t>
        </is>
      </c>
      <c r="U202" t="inlineStr">
        <is>
          <t>Sin acción</t>
        </is>
      </c>
      <c r="Y202" t="inlineStr">
        <is>
          <t>2026-T2</t>
        </is>
      </c>
      <c r="Z202">
        <f>IF(AND(M203&gt;0,C203&lt;Resumen!$B$3),"Sí","No")</f>
        <v/>
      </c>
      <c r="AA202">
        <f>IF(AND(L203&gt;0,M203&gt;0),"Sí","No")</f>
        <v/>
      </c>
      <c r="AB202">
        <f>IF(J203="USD","Sí","No")</f>
        <v/>
      </c>
    </row>
    <row r="203">
      <c r="A203" t="inlineStr">
        <is>
          <t>FAC-00206</t>
        </is>
      </c>
      <c r="B203" s="33" t="n">
        <v>46159</v>
      </c>
      <c r="C203" s="33" t="n">
        <v>46174</v>
      </c>
      <c r="D203" s="33" t="n">
        <v>46186</v>
      </c>
      <c r="E203" t="inlineStr">
        <is>
          <t>CL-020</t>
        </is>
      </c>
      <c r="F203" t="inlineStr">
        <is>
          <t>Tango Gestión S.R.L.</t>
        </is>
      </c>
      <c r="G203" t="inlineStr">
        <is>
          <t>PyME servicios recurrentes</t>
        </is>
      </c>
      <c r="H203" t="inlineStr">
        <is>
          <t>SRV-003</t>
        </is>
      </c>
      <c r="I203" t="inlineStr">
        <is>
          <t>Consultoría de gestión</t>
        </is>
      </c>
      <c r="J203" t="inlineStr">
        <is>
          <t>USD</t>
        </is>
      </c>
      <c r="K203" t="n">
        <v>1300</v>
      </c>
      <c r="L203" t="n">
        <v>336.39</v>
      </c>
      <c r="M203" t="n">
        <v>0</v>
      </c>
      <c r="N203" t="n">
        <v>1653</v>
      </c>
      <c r="O203" t="n">
        <v>0</v>
      </c>
      <c r="P203" t="n">
        <v>0</v>
      </c>
      <c r="Q203">
        <f>IF(M207&lt;=0,"Cobrada",IF(L207&gt;0,"Parcial",IF(C207&lt;Resumen!$B$3,"Vencida",IF(C207&lt;=Resumen!$B$3+15,"Por vencer","Pendiente"))))</f>
        <v/>
      </c>
      <c r="R203" t="n">
        <v>0</v>
      </c>
      <c r="S203">
        <f>IF(M207&lt;=0,"Sin prioridad",IF(R207&gt;60,"Alta",IF(R207&gt;30,"Media",IF(C207&lt;=Resumen!$B$3+15,"Media","Baja"))))</f>
        <v/>
      </c>
      <c r="T203" t="inlineStr">
        <is>
          <t>Ana</t>
        </is>
      </c>
      <c r="U203" t="inlineStr">
        <is>
          <t>Reclamar saldo parcial</t>
        </is>
      </c>
      <c r="V203" t="inlineStr">
        <is>
          <t>Sin respuesta del cliente</t>
        </is>
      </c>
      <c r="Y203" t="inlineStr">
        <is>
          <t>2026-T2</t>
        </is>
      </c>
      <c r="Z203">
        <f>IF(AND(M207&gt;0,C207&lt;Resumen!$B$3),"Sí","No")</f>
        <v/>
      </c>
      <c r="AA203">
        <f>IF(AND(L207&gt;0,M207&gt;0),"Sí","No")</f>
        <v/>
      </c>
      <c r="AB203">
        <f>IF(J207="USD","Sí","No")</f>
        <v/>
      </c>
    </row>
    <row r="204">
      <c r="A204" t="inlineStr">
        <is>
          <t>FAC-00197</t>
        </is>
      </c>
      <c r="B204" s="33" t="n">
        <v>46162</v>
      </c>
      <c r="C204" s="33" t="n">
        <v>46177</v>
      </c>
      <c r="D204" s="33" t="n">
        <v>46189</v>
      </c>
      <c r="E204" t="inlineStr">
        <is>
          <t>CL-003</t>
        </is>
      </c>
      <c r="F204" t="inlineStr">
        <is>
          <t>Arco Norte S.R.L.</t>
        </is>
      </c>
      <c r="G204" t="inlineStr">
        <is>
          <t>PyME servicios recurrentes</t>
        </is>
      </c>
      <c r="H204" t="inlineStr">
        <is>
          <t>SRV-002</t>
        </is>
      </c>
      <c r="I204" t="inlineStr">
        <is>
          <t>Soporte operativo</t>
        </is>
      </c>
      <c r="J204" t="inlineStr">
        <is>
          <t>ARS</t>
        </is>
      </c>
      <c r="K204" t="n">
        <v>775000</v>
      </c>
      <c r="L204" t="n">
        <v>775000</v>
      </c>
      <c r="M204" t="n">
        <v>0</v>
      </c>
      <c r="N204" t="n">
        <v>1653</v>
      </c>
      <c r="O204" t="n">
        <v>0</v>
      </c>
      <c r="P204" t="n">
        <v>0</v>
      </c>
      <c r="Q204">
        <f>IF(M198&lt;=0,"Cobrada",IF(L198&gt;0,"Parcial",IF(C198&lt;Resumen!$B$3,"Vencida",IF(C198&lt;=Resumen!$B$3+15,"Por vencer","Pendiente"))))</f>
        <v/>
      </c>
      <c r="R204" t="n">
        <v>0</v>
      </c>
      <c r="S204">
        <f>IF(M198&lt;=0,"Sin prioridad",IF(R198&gt;60,"Alta",IF(R198&gt;30,"Media",IF(C198&lt;=Resumen!$B$3+15,"Media","Baja"))))</f>
        <v/>
      </c>
      <c r="T204" t="inlineStr">
        <is>
          <t>Sofía</t>
        </is>
      </c>
      <c r="U204" t="inlineStr">
        <is>
          <t>Sin acción</t>
        </is>
      </c>
      <c r="V204" t="inlineStr">
        <is>
          <t>Cliente solicita reenvío de factura</t>
        </is>
      </c>
      <c r="Y204" t="inlineStr">
        <is>
          <t>2026-T2</t>
        </is>
      </c>
      <c r="Z204">
        <f>IF(AND(M198&gt;0,C198&lt;Resumen!$B$3),"Sí","No")</f>
        <v/>
      </c>
      <c r="AA204">
        <f>IF(AND(L198&gt;0,M198&gt;0),"Sí","No")</f>
        <v/>
      </c>
      <c r="AB204">
        <f>IF(J198="USD","Sí","No")</f>
        <v/>
      </c>
    </row>
    <row r="205">
      <c r="A205" t="inlineStr">
        <is>
          <t>FAC-00198</t>
        </is>
      </c>
      <c r="B205" s="33" t="n">
        <v>46162</v>
      </c>
      <c r="C205" s="33" t="n">
        <v>46207</v>
      </c>
      <c r="E205" t="inlineStr">
        <is>
          <t>CL-007</t>
        </is>
      </c>
      <c r="F205" t="inlineStr">
        <is>
          <t>Eje Comercial S.R.L.</t>
        </is>
      </c>
      <c r="G205" t="inlineStr">
        <is>
          <t>PyME servicios recurrentes</t>
        </is>
      </c>
      <c r="H205" t="inlineStr">
        <is>
          <t>SRV-003</t>
        </is>
      </c>
      <c r="I205" t="inlineStr">
        <is>
          <t>Consultoría de gestión</t>
        </is>
      </c>
      <c r="J205" t="inlineStr">
        <is>
          <t>ARS</t>
        </is>
      </c>
      <c r="K205" t="n">
        <v>1224000</v>
      </c>
      <c r="L205" t="n">
        <v>0</v>
      </c>
      <c r="M205" t="n">
        <v>0</v>
      </c>
      <c r="N205" t="n">
        <v>1653</v>
      </c>
      <c r="O205" t="n">
        <v>0</v>
      </c>
      <c r="P205" t="n">
        <v>0</v>
      </c>
      <c r="Q205">
        <f>IF(M199&lt;=0,"Cobrada",IF(L199&gt;0,"Parcial",IF(C199&lt;Resumen!$B$3,"Vencida",IF(C199&lt;=Resumen!$B$3+15,"Por vencer","Pendiente"))))</f>
        <v/>
      </c>
      <c r="R205" t="n">
        <v>0</v>
      </c>
      <c r="S205">
        <f>IF(M199&lt;=0,"Sin prioridad",IF(R199&gt;60,"Alta",IF(R199&gt;30,"Media",IF(C199&lt;=Resumen!$B$3+15,"Media","Baja"))))</f>
        <v/>
      </c>
      <c r="T205" t="inlineStr">
        <is>
          <t>Matías</t>
        </is>
      </c>
      <c r="U205" t="inlineStr">
        <is>
          <t>Monitorear vencimiento</t>
        </is>
      </c>
      <c r="Y205" t="inlineStr">
        <is>
          <t>2026-T2</t>
        </is>
      </c>
      <c r="Z205">
        <f>IF(AND(M199&gt;0,C199&lt;Resumen!$B$3),"Sí","No")</f>
        <v/>
      </c>
      <c r="AA205">
        <f>IF(AND(L199&gt;0,M199&gt;0),"Sí","No")</f>
        <v/>
      </c>
      <c r="AB205">
        <f>IF(J199="USD","Sí","No")</f>
        <v/>
      </c>
    </row>
    <row r="206">
      <c r="A206" t="inlineStr">
        <is>
          <t>FAC-00200</t>
        </is>
      </c>
      <c r="B206" s="33" t="n">
        <v>46162</v>
      </c>
      <c r="C206" s="33" t="n">
        <v>46177</v>
      </c>
      <c r="D206" s="33" t="n">
        <v>46189</v>
      </c>
      <c r="E206" t="inlineStr">
        <is>
          <t>CL-023</t>
        </is>
      </c>
      <c r="F206" t="inlineStr">
        <is>
          <t>Vector Administración S.A.S.</t>
        </is>
      </c>
      <c r="G206" t="inlineStr">
        <is>
          <t>PyME servicios recurrentes</t>
        </is>
      </c>
      <c r="H206" t="inlineStr">
        <is>
          <t>SRV-005</t>
        </is>
      </c>
      <c r="I206" t="inlineStr">
        <is>
          <t>Servicio extraordinario puntual</t>
        </is>
      </c>
      <c r="J206" t="inlineStr">
        <is>
          <t>ARS</t>
        </is>
      </c>
      <c r="K206" t="n">
        <v>556000</v>
      </c>
      <c r="L206" t="n">
        <v>556000</v>
      </c>
      <c r="M206" t="n">
        <v>0</v>
      </c>
      <c r="N206" t="n">
        <v>1653</v>
      </c>
      <c r="O206" t="n">
        <v>0</v>
      </c>
      <c r="P206" t="n">
        <v>0</v>
      </c>
      <c r="Q206">
        <f>IF(M201&lt;=0,"Cobrada",IF(L201&gt;0,"Parcial",IF(C201&lt;Resumen!$B$3,"Vencida",IF(C201&lt;=Resumen!$B$3+15,"Por vencer","Pendiente"))))</f>
        <v/>
      </c>
      <c r="R206" t="n">
        <v>0</v>
      </c>
      <c r="S206">
        <f>IF(M201&lt;=0,"Sin prioridad",IF(R201&gt;60,"Alta",IF(R201&gt;30,"Media",IF(C201&lt;=Resumen!$B$3+15,"Media","Baja"))))</f>
        <v/>
      </c>
      <c r="T206" t="inlineStr">
        <is>
          <t>Ana</t>
        </is>
      </c>
      <c r="U206" t="inlineStr">
        <is>
          <t>Sin acción</t>
        </is>
      </c>
      <c r="V206" t="inlineStr">
        <is>
          <t>Cliente solicita reenvío de factura</t>
        </is>
      </c>
      <c r="Y206" t="inlineStr">
        <is>
          <t>2026-T2</t>
        </is>
      </c>
      <c r="Z206">
        <f>IF(AND(M201&gt;0,C201&lt;Resumen!$B$3),"Sí","No")</f>
        <v/>
      </c>
      <c r="AA206">
        <f>IF(AND(L201&gt;0,M201&gt;0),"Sí","No")</f>
        <v/>
      </c>
      <c r="AB206">
        <f>IF(J201="USD","Sí","No")</f>
        <v/>
      </c>
    </row>
    <row r="207">
      <c r="A207" t="inlineStr">
        <is>
          <t>FAC-00207</t>
        </is>
      </c>
      <c r="B207" s="33" t="n">
        <v>46165</v>
      </c>
      <c r="C207" s="33" t="n">
        <v>46210</v>
      </c>
      <c r="E207" t="inlineStr">
        <is>
          <t>CL-014</t>
        </is>
      </c>
      <c r="F207" t="inlineStr">
        <is>
          <t>Norte Gestión Integral S.R.L.</t>
        </is>
      </c>
      <c r="G207" t="inlineStr">
        <is>
          <t>PyME servicios recurrentes</t>
        </is>
      </c>
      <c r="H207" t="inlineStr">
        <is>
          <t>SRV-001</t>
        </is>
      </c>
      <c r="I207" t="inlineStr">
        <is>
          <t>Abono mensual administrativo</t>
        </is>
      </c>
      <c r="J207" t="inlineStr">
        <is>
          <t>ARS</t>
        </is>
      </c>
      <c r="K207" t="n">
        <v>496000</v>
      </c>
      <c r="L207" t="n">
        <v>0</v>
      </c>
      <c r="M207" t="n">
        <v>0</v>
      </c>
      <c r="N207" t="n">
        <v>1653</v>
      </c>
      <c r="O207" t="n">
        <v>0</v>
      </c>
      <c r="P207" t="n">
        <v>0</v>
      </c>
      <c r="Q207">
        <f>IF(M208&lt;=0,"Cobrada",IF(L208&gt;0,"Parcial",IF(C208&lt;Resumen!$B$3,"Vencida",IF(C208&lt;=Resumen!$B$3+15,"Por vencer","Pendiente"))))</f>
        <v/>
      </c>
      <c r="R207" t="n">
        <v>0</v>
      </c>
      <c r="S207">
        <f>IF(M208&lt;=0,"Sin prioridad",IF(R208&gt;60,"Alta",IF(R208&gt;30,"Media",IF(C208&lt;=Resumen!$B$3+15,"Media","Baja"))))</f>
        <v/>
      </c>
      <c r="T207" t="inlineStr">
        <is>
          <t>Carlos</t>
        </is>
      </c>
      <c r="U207" t="inlineStr">
        <is>
          <t>Monitorear vencimiento</t>
        </is>
      </c>
      <c r="V207" t="inlineStr">
        <is>
          <t>Cliente solicita reenvío de factura</t>
        </is>
      </c>
      <c r="Y207" t="inlineStr">
        <is>
          <t>2026-T2</t>
        </is>
      </c>
      <c r="Z207">
        <f>IF(AND(M208&gt;0,C208&lt;Resumen!$B$3),"Sí","No")</f>
        <v/>
      </c>
      <c r="AA207">
        <f>IF(AND(L208&gt;0,M208&gt;0),"Sí","No")</f>
        <v/>
      </c>
      <c r="AB207">
        <f>IF(J208="USD","Sí","No")</f>
        <v/>
      </c>
    </row>
    <row r="208">
      <c r="A208" t="inlineStr">
        <is>
          <t>FAC-00196</t>
        </is>
      </c>
      <c r="B208" s="33" t="n">
        <v>46166</v>
      </c>
      <c r="C208" s="33" t="n">
        <v>46181</v>
      </c>
      <c r="E208" t="inlineStr">
        <is>
          <t>CL-013</t>
        </is>
      </c>
      <c r="F208" t="inlineStr">
        <is>
          <t>Mercurio PyME S.A.</t>
        </is>
      </c>
      <c r="G208" t="inlineStr">
        <is>
          <t>PyME servicios recurrentes</t>
        </is>
      </c>
      <c r="H208" t="inlineStr">
        <is>
          <t>SRV-001</t>
        </is>
      </c>
      <c r="I208" t="inlineStr">
        <is>
          <t>Abono mensual administrativo</t>
        </is>
      </c>
      <c r="J208" t="inlineStr">
        <is>
          <t>ARS</t>
        </is>
      </c>
      <c r="K208" t="n">
        <v>433000</v>
      </c>
      <c r="L208" t="n">
        <v>0</v>
      </c>
      <c r="M208" t="n">
        <v>0</v>
      </c>
      <c r="N208" t="n">
        <v>1653</v>
      </c>
      <c r="O208" t="n">
        <v>0</v>
      </c>
      <c r="P208" t="n">
        <v>0</v>
      </c>
      <c r="Q208">
        <f>IF(M197&lt;=0,"Cobrada",IF(L197&gt;0,"Parcial",IF(C197&lt;Resumen!$B$3,"Vencida",IF(C197&lt;=Resumen!$B$3+15,"Por vencer","Pendiente"))))</f>
        <v/>
      </c>
      <c r="R208" t="n">
        <v>0</v>
      </c>
      <c r="S208">
        <f>IF(M197&lt;=0,"Sin prioridad",IF(R197&gt;60,"Alta",IF(R197&gt;30,"Media",IF(C197&lt;=Resumen!$B$3+15,"Media","Baja"))))</f>
        <v/>
      </c>
      <c r="T208" t="inlineStr">
        <is>
          <t>Sofía</t>
        </is>
      </c>
      <c r="U208" t="inlineStr">
        <is>
          <t>Reenviar factura</t>
        </is>
      </c>
      <c r="V208" t="inlineStr">
        <is>
          <t>En seguimiento administrativo</t>
        </is>
      </c>
      <c r="Y208" t="inlineStr">
        <is>
          <t>2026-T2</t>
        </is>
      </c>
      <c r="Z208">
        <f>IF(AND(M197&gt;0,C197&lt;Resumen!$B$3),"Sí","No")</f>
        <v/>
      </c>
      <c r="AA208">
        <f>IF(AND(L197&gt;0,M197&gt;0),"Sí","No")</f>
        <v/>
      </c>
      <c r="AB208">
        <f>IF(J197="USD","Sí","No")</f>
        <v/>
      </c>
    </row>
    <row r="209">
      <c r="A209" t="inlineStr">
        <is>
          <t>FAC-00195</t>
        </is>
      </c>
      <c r="B209" s="33" t="n">
        <v>46168</v>
      </c>
      <c r="C209" s="33" t="n">
        <v>46198</v>
      </c>
      <c r="D209" s="33" t="n">
        <v>46202</v>
      </c>
      <c r="E209" t="inlineStr">
        <is>
          <t>CL-021</t>
        </is>
      </c>
      <c r="F209" t="inlineStr">
        <is>
          <t>Unión PyME Servicios S.A.</t>
        </is>
      </c>
      <c r="G209" t="inlineStr">
        <is>
          <t>PyME servicios recurrentes</t>
        </is>
      </c>
      <c r="H209" t="inlineStr">
        <is>
          <t>SRV-001</t>
        </is>
      </c>
      <c r="I209" t="inlineStr">
        <is>
          <t>Abono mensual administrativo</t>
        </is>
      </c>
      <c r="J209" t="inlineStr">
        <is>
          <t>USD</t>
        </is>
      </c>
      <c r="K209" t="n">
        <v>500</v>
      </c>
      <c r="L209" t="n">
        <v>260.17</v>
      </c>
      <c r="M209" t="n">
        <v>0</v>
      </c>
      <c r="N209" t="n">
        <v>1653</v>
      </c>
      <c r="O209" t="n">
        <v>0</v>
      </c>
      <c r="P209" t="n">
        <v>0</v>
      </c>
      <c r="Q209">
        <f>IF(M196&lt;=0,"Cobrada",IF(L196&gt;0,"Parcial",IF(C196&lt;Resumen!$B$3,"Vencida",IF(C196&lt;=Resumen!$B$3+15,"Por vencer","Pendiente"))))</f>
        <v/>
      </c>
      <c r="R209" t="n">
        <v>0</v>
      </c>
      <c r="S209">
        <f>IF(M196&lt;=0,"Sin prioridad",IF(R196&gt;60,"Alta",IF(R196&gt;30,"Media",IF(C196&lt;=Resumen!$B$3+15,"Media","Baja"))))</f>
        <v/>
      </c>
      <c r="T209" t="inlineStr">
        <is>
          <t>Ana</t>
        </is>
      </c>
      <c r="U209" t="inlineStr">
        <is>
          <t>Reclamar saldo parcial</t>
        </is>
      </c>
      <c r="V209" t="inlineStr">
        <is>
          <t>Cliente solicita reenvío de factura</t>
        </is>
      </c>
      <c r="Y209" t="inlineStr">
        <is>
          <t>2026-T2</t>
        </is>
      </c>
      <c r="Z209">
        <f>IF(AND(M196&gt;0,C196&lt;Resumen!$B$3),"Sí","No")</f>
        <v/>
      </c>
      <c r="AA209">
        <f>IF(AND(L196&gt;0,M196&gt;0),"Sí","No")</f>
        <v/>
      </c>
      <c r="AB209">
        <f>IF(J196="USD","Sí","No")</f>
        <v/>
      </c>
    </row>
    <row r="210">
      <c r="A210" t="inlineStr">
        <is>
          <t>FAC-00209</t>
        </is>
      </c>
      <c r="B210" s="33" t="n">
        <v>46169</v>
      </c>
      <c r="C210" s="33" t="n">
        <v>46184</v>
      </c>
      <c r="D210" s="33" t="n">
        <v>46182</v>
      </c>
      <c r="E210" t="inlineStr">
        <is>
          <t>CL-004</t>
        </is>
      </c>
      <c r="F210" t="inlineStr">
        <is>
          <t>Base Sur Servicios S.A.S.</t>
        </is>
      </c>
      <c r="G210" t="inlineStr">
        <is>
          <t>PyME servicios recurrentes</t>
        </is>
      </c>
      <c r="H210" t="inlineStr">
        <is>
          <t>SRV-003</t>
        </is>
      </c>
      <c r="I210" t="inlineStr">
        <is>
          <t>Consultoría de gestión</t>
        </is>
      </c>
      <c r="J210" t="inlineStr">
        <is>
          <t>ARS</t>
        </is>
      </c>
      <c r="K210" t="n">
        <v>1055000</v>
      </c>
      <c r="L210" t="n">
        <v>1055000</v>
      </c>
      <c r="M210" t="n">
        <v>0</v>
      </c>
      <c r="N210" t="n">
        <v>1653</v>
      </c>
      <c r="O210" t="n">
        <v>0</v>
      </c>
      <c r="P210" t="n">
        <v>0</v>
      </c>
      <c r="Q210">
        <f>IF(M210&lt;=0,"Cobrada",IF(L210&gt;0,"Parcial",IF(C210&lt;Resumen!$B$3,"Vencida",IF(C210&lt;=Resumen!$B$3+15,"Por vencer","Pendiente"))))</f>
        <v/>
      </c>
      <c r="R210" t="n">
        <v>0</v>
      </c>
      <c r="S210">
        <f>IF(M210&lt;=0,"Sin prioridad",IF(R210&gt;60,"Alta",IF(R210&gt;30,"Media",IF(C210&lt;=Resumen!$B$3+15,"Media","Baja"))))</f>
        <v/>
      </c>
      <c r="T210" t="inlineStr">
        <is>
          <t>Ana</t>
        </is>
      </c>
      <c r="U210" t="inlineStr">
        <is>
          <t>Sin acción</t>
        </is>
      </c>
      <c r="V210" t="inlineStr">
        <is>
          <t>Sin respuesta del cliente</t>
        </is>
      </c>
      <c r="Y210" t="inlineStr">
        <is>
          <t>2026-T2</t>
        </is>
      </c>
      <c r="Z210">
        <f>IF(AND(M210&gt;0,C210&lt;Resumen!$B$3),"Sí","No")</f>
        <v/>
      </c>
      <c r="AA210">
        <f>IF(AND(L210&gt;0,M210&gt;0),"Sí","No")</f>
        <v/>
      </c>
      <c r="AB210">
        <f>IF(J210="USD","Sí","No")</f>
        <v/>
      </c>
    </row>
    <row r="211">
      <c r="A211" t="inlineStr">
        <is>
          <t>FAC-00217</t>
        </is>
      </c>
      <c r="B211" s="33" t="n">
        <v>46174</v>
      </c>
      <c r="C211" s="33" t="n">
        <v>46204</v>
      </c>
      <c r="D211" s="33" t="n">
        <v>46201</v>
      </c>
      <c r="E211" t="inlineStr">
        <is>
          <t>CL-009</t>
        </is>
      </c>
      <c r="F211" t="inlineStr">
        <is>
          <t>Grupo Nexo PyME S.A.</t>
        </is>
      </c>
      <c r="G211" t="inlineStr">
        <is>
          <t>PyME servicios recurrentes</t>
        </is>
      </c>
      <c r="H211" t="inlineStr">
        <is>
          <t>SRV-005</t>
        </is>
      </c>
      <c r="I211" t="inlineStr">
        <is>
          <t>Servicio extraordinario puntual</t>
        </is>
      </c>
      <c r="J211" t="inlineStr">
        <is>
          <t>ARS</t>
        </is>
      </c>
      <c r="K211" t="n">
        <v>530000</v>
      </c>
      <c r="L211" t="n">
        <v>530000</v>
      </c>
      <c r="M211" t="n">
        <v>0</v>
      </c>
      <c r="N211" t="n">
        <v>1669</v>
      </c>
      <c r="O211" t="n">
        <v>0</v>
      </c>
      <c r="P211" t="n">
        <v>0</v>
      </c>
      <c r="Q211">
        <f>IF(M218&lt;=0,"Cobrada",IF(L218&gt;0,"Parcial",IF(C218&lt;Resumen!$B$3,"Vencida",IF(C218&lt;=Resumen!$B$3+15,"Por vencer","Pendiente"))))</f>
        <v/>
      </c>
      <c r="R211" t="n">
        <v>0</v>
      </c>
      <c r="S211">
        <f>IF(M218&lt;=0,"Sin prioridad",IF(R218&gt;60,"Alta",IF(R218&gt;30,"Media",IF(C218&lt;=Resumen!$B$3+15,"Media","Baja"))))</f>
        <v/>
      </c>
      <c r="T211" t="inlineStr">
        <is>
          <t>Ana</t>
        </is>
      </c>
      <c r="U211" t="inlineStr">
        <is>
          <t>Sin acción</t>
        </is>
      </c>
      <c r="V211" t="inlineStr">
        <is>
          <t>Pago prometido para próxima semana</t>
        </is>
      </c>
      <c r="Y211" t="inlineStr">
        <is>
          <t>2026-T2</t>
        </is>
      </c>
      <c r="Z211">
        <f>IF(AND(M218&gt;0,C218&lt;Resumen!$B$3),"Sí","No")</f>
        <v/>
      </c>
      <c r="AA211">
        <f>IF(AND(L218&gt;0,M218&gt;0),"Sí","No")</f>
        <v/>
      </c>
      <c r="AB211">
        <f>IF(J218="USD","Sí","No")</f>
        <v/>
      </c>
    </row>
    <row r="212">
      <c r="A212" t="inlineStr">
        <is>
          <t>FAC-00219</t>
        </is>
      </c>
      <c r="B212" s="33" t="n">
        <v>46174</v>
      </c>
      <c r="C212" s="33" t="n">
        <v>46204</v>
      </c>
      <c r="E212" t="inlineStr">
        <is>
          <t>CL-009</t>
        </is>
      </c>
      <c r="F212" t="inlineStr">
        <is>
          <t>Grupo Nexo PyME S.A.</t>
        </is>
      </c>
      <c r="G212" t="inlineStr">
        <is>
          <t>PyME servicios recurrentes</t>
        </is>
      </c>
      <c r="H212" t="inlineStr">
        <is>
          <t>SRV-001</t>
        </is>
      </c>
      <c r="I212" t="inlineStr">
        <is>
          <t>Abono mensual administrativo</t>
        </is>
      </c>
      <c r="J212" t="inlineStr">
        <is>
          <t>ARS</t>
        </is>
      </c>
      <c r="K212" t="n">
        <v>411000</v>
      </c>
      <c r="L212" t="n">
        <v>0</v>
      </c>
      <c r="M212" t="n">
        <v>0</v>
      </c>
      <c r="N212" t="n">
        <v>1669</v>
      </c>
      <c r="O212" t="n">
        <v>0</v>
      </c>
      <c r="P212" t="n">
        <v>0</v>
      </c>
      <c r="Q212">
        <f>IF(M220&lt;=0,"Cobrada",IF(L220&gt;0,"Parcial",IF(C220&lt;Resumen!$B$3,"Vencida",IF(C220&lt;=Resumen!$B$3+15,"Por vencer","Pendiente"))))</f>
        <v/>
      </c>
      <c r="R212" t="n">
        <v>0</v>
      </c>
      <c r="S212">
        <f>IF(M220&lt;=0,"Sin prioridad",IF(R220&gt;60,"Alta",IF(R220&gt;30,"Media",IF(C220&lt;=Resumen!$B$3+15,"Media","Baja"))))</f>
        <v/>
      </c>
      <c r="T212" t="inlineStr">
        <is>
          <t>Ana</t>
        </is>
      </c>
      <c r="U212" t="inlineStr">
        <is>
          <t>Reenviar factura</t>
        </is>
      </c>
      <c r="V212" t="inlineStr">
        <is>
          <t>En seguimiento administrativo</t>
        </is>
      </c>
      <c r="Y212" t="inlineStr">
        <is>
          <t>2026-T2</t>
        </is>
      </c>
      <c r="Z212">
        <f>IF(AND(M220&gt;0,C220&lt;Resumen!$B$3),"Sí","No")</f>
        <v/>
      </c>
      <c r="AA212">
        <f>IF(AND(L220&gt;0,M220&gt;0),"Sí","No")</f>
        <v/>
      </c>
      <c r="AB212">
        <f>IF(J220="USD","Sí","No")</f>
        <v/>
      </c>
    </row>
    <row r="213">
      <c r="A213" t="inlineStr">
        <is>
          <t>FAC-00228</t>
        </is>
      </c>
      <c r="B213" s="33" t="n">
        <v>46176</v>
      </c>
      <c r="C213" s="33" t="n">
        <v>46191</v>
      </c>
      <c r="D213" s="33" t="n">
        <v>46191</v>
      </c>
      <c r="E213" t="inlineStr">
        <is>
          <t>CL-005</t>
        </is>
      </c>
      <c r="F213" t="inlineStr">
        <is>
          <t>Cerro Azul S.R.L.</t>
        </is>
      </c>
      <c r="G213" t="inlineStr">
        <is>
          <t>PyME servicios recurrentes</t>
        </is>
      </c>
      <c r="H213" t="inlineStr">
        <is>
          <t>SRV-003</t>
        </is>
      </c>
      <c r="I213" t="inlineStr">
        <is>
          <t>Consultoría de gestión</t>
        </is>
      </c>
      <c r="J213" t="inlineStr">
        <is>
          <t>USD</t>
        </is>
      </c>
      <c r="K213" t="n">
        <v>1950</v>
      </c>
      <c r="L213" t="n">
        <v>1950</v>
      </c>
      <c r="M213" t="n">
        <v>0</v>
      </c>
      <c r="N213" t="n">
        <v>1669</v>
      </c>
      <c r="O213" t="n">
        <v>0</v>
      </c>
      <c r="P213" t="n">
        <v>0</v>
      </c>
      <c r="Q213">
        <f>IF(M229&lt;=0,"Cobrada",IF(L229&gt;0,"Parcial",IF(C229&lt;Resumen!$B$3,"Vencida",IF(C229&lt;=Resumen!$B$3+15,"Por vencer","Pendiente"))))</f>
        <v/>
      </c>
      <c r="R213" t="n">
        <v>0</v>
      </c>
      <c r="S213">
        <f>IF(M229&lt;=0,"Sin prioridad",IF(R229&gt;60,"Alta",IF(R229&gt;30,"Media",IF(C229&lt;=Resumen!$B$3+15,"Media","Baja"))))</f>
        <v/>
      </c>
      <c r="T213" t="inlineStr">
        <is>
          <t>Ana</t>
        </is>
      </c>
      <c r="U213" t="inlineStr">
        <is>
          <t>Sin acción</t>
        </is>
      </c>
      <c r="V213" t="inlineStr">
        <is>
          <t>En seguimiento administrativo</t>
        </is>
      </c>
      <c r="Y213" t="inlineStr">
        <is>
          <t>2026-T2</t>
        </is>
      </c>
      <c r="Z213">
        <f>IF(AND(M229&gt;0,C229&lt;Resumen!$B$3),"Sí","No")</f>
        <v/>
      </c>
      <c r="AA213">
        <f>IF(AND(L229&gt;0,M229&gt;0),"Sí","No")</f>
        <v/>
      </c>
      <c r="AB213">
        <f>IF(J229="USD","Sí","No")</f>
        <v/>
      </c>
    </row>
    <row r="214">
      <c r="A214" t="inlineStr">
        <is>
          <t>FAC-00229</t>
        </is>
      </c>
      <c r="B214" s="33" t="n">
        <v>46177</v>
      </c>
      <c r="C214" s="33" t="n">
        <v>46222</v>
      </c>
      <c r="E214" t="inlineStr">
        <is>
          <t>CL-007</t>
        </is>
      </c>
      <c r="F214" t="inlineStr">
        <is>
          <t>Eje Comercial S.R.L.</t>
        </is>
      </c>
      <c r="G214" t="inlineStr">
        <is>
          <t>PyME servicios recurrentes</t>
        </is>
      </c>
      <c r="H214" t="inlineStr">
        <is>
          <t>SRV-003</t>
        </is>
      </c>
      <c r="I214" t="inlineStr">
        <is>
          <t>Consultoría de gestión</t>
        </is>
      </c>
      <c r="J214" t="inlineStr">
        <is>
          <t>USD</t>
        </is>
      </c>
      <c r="K214" t="n">
        <v>950</v>
      </c>
      <c r="L214" t="n">
        <v>0</v>
      </c>
      <c r="M214" t="n">
        <v>0</v>
      </c>
      <c r="N214" t="n">
        <v>1669</v>
      </c>
      <c r="O214" t="n">
        <v>0</v>
      </c>
      <c r="P214" t="n">
        <v>0</v>
      </c>
      <c r="Q214">
        <f>IF(M230&lt;=0,"Cobrada",IF(L230&gt;0,"Parcial",IF(C230&lt;Resumen!$B$3,"Vencida",IF(C230&lt;=Resumen!$B$3+15,"Por vencer","Pendiente"))))</f>
        <v/>
      </c>
      <c r="R214" t="n">
        <v>0</v>
      </c>
      <c r="S214">
        <f>IF(M230&lt;=0,"Sin prioridad",IF(R230&gt;60,"Alta",IF(R230&gt;30,"Media",IF(C230&lt;=Resumen!$B$3+15,"Media","Baja"))))</f>
        <v/>
      </c>
      <c r="T214" t="inlineStr">
        <is>
          <t>Matías</t>
        </is>
      </c>
      <c r="U214" t="inlineStr">
        <is>
          <t>Monitorear vencimiento</t>
        </is>
      </c>
      <c r="V214" t="inlineStr">
        <is>
          <t>Cliente solicita reenvío de factura</t>
        </is>
      </c>
      <c r="Y214" t="inlineStr">
        <is>
          <t>2026-T2</t>
        </is>
      </c>
      <c r="Z214">
        <f>IF(AND(M230&gt;0,C230&lt;Resumen!$B$3),"Sí","No")</f>
        <v/>
      </c>
      <c r="AA214">
        <f>IF(AND(L230&gt;0,M230&gt;0),"Sí","No")</f>
        <v/>
      </c>
      <c r="AB214">
        <f>IF(J230="USD","Sí","No")</f>
        <v/>
      </c>
    </row>
    <row r="215">
      <c r="A215" t="inlineStr">
        <is>
          <t>FAC-00224</t>
        </is>
      </c>
      <c r="B215" s="33" t="n">
        <v>46178</v>
      </c>
      <c r="C215" s="33" t="n">
        <v>46208</v>
      </c>
      <c r="E215" t="inlineStr">
        <is>
          <t>CL-008</t>
        </is>
      </c>
      <c r="F215" t="inlineStr">
        <is>
          <t>Faro Administrativo S.A.S.</t>
        </is>
      </c>
      <c r="G215" t="inlineStr">
        <is>
          <t>PyME servicios recurrentes</t>
        </is>
      </c>
      <c r="H215" t="inlineStr">
        <is>
          <t>SRV-002</t>
        </is>
      </c>
      <c r="I215" t="inlineStr">
        <is>
          <t>Soporte operativo</t>
        </is>
      </c>
      <c r="J215" t="inlineStr">
        <is>
          <t>USD</t>
        </is>
      </c>
      <c r="K215" t="n">
        <v>650</v>
      </c>
      <c r="L215" t="n">
        <v>0</v>
      </c>
      <c r="M215" t="n">
        <v>0</v>
      </c>
      <c r="N215" t="n">
        <v>1669</v>
      </c>
      <c r="O215" t="n">
        <v>0</v>
      </c>
      <c r="P215" t="n">
        <v>0</v>
      </c>
      <c r="Q215">
        <f>IF(M225&lt;=0,"Cobrada",IF(L225&gt;0,"Parcial",IF(C225&lt;Resumen!$B$3,"Vencida",IF(C225&lt;=Resumen!$B$3+15,"Por vencer","Pendiente"))))</f>
        <v/>
      </c>
      <c r="R215" t="n">
        <v>0</v>
      </c>
      <c r="S215">
        <f>IF(M225&lt;=0,"Sin prioridad",IF(R225&gt;60,"Alta",IF(R225&gt;30,"Media",IF(C225&lt;=Resumen!$B$3+15,"Media","Baja"))))</f>
        <v/>
      </c>
      <c r="T215" t="inlineStr">
        <is>
          <t>Sofía</t>
        </is>
      </c>
      <c r="U215" t="inlineStr">
        <is>
          <t>Monitorear vencimiento</t>
        </is>
      </c>
      <c r="V215" t="inlineStr">
        <is>
          <t>Pendiente de confirmación de pago</t>
        </is>
      </c>
      <c r="Y215" t="inlineStr">
        <is>
          <t>2026-T2</t>
        </is>
      </c>
      <c r="Z215">
        <f>IF(AND(M225&gt;0,C225&lt;Resumen!$B$3),"Sí","No")</f>
        <v/>
      </c>
      <c r="AA215">
        <f>IF(AND(L225&gt;0,M225&gt;0),"Sí","No")</f>
        <v/>
      </c>
      <c r="AB215">
        <f>IF(J225="USD","Sí","No")</f>
        <v/>
      </c>
    </row>
    <row r="216">
      <c r="A216" t="inlineStr">
        <is>
          <t>FAC-00218</t>
        </is>
      </c>
      <c r="B216" s="33" t="n">
        <v>46180</v>
      </c>
      <c r="C216" s="33" t="n">
        <v>46195</v>
      </c>
      <c r="E216" t="inlineStr">
        <is>
          <t>CL-003</t>
        </is>
      </c>
      <c r="F216" t="inlineStr">
        <is>
          <t>Arco Norte S.R.L.</t>
        </is>
      </c>
      <c r="G216" t="inlineStr">
        <is>
          <t>PyME servicios recurrentes</t>
        </is>
      </c>
      <c r="H216" t="inlineStr">
        <is>
          <t>SRV-002</t>
        </is>
      </c>
      <c r="I216" t="inlineStr">
        <is>
          <t>Soporte operativo</t>
        </is>
      </c>
      <c r="J216" t="inlineStr">
        <is>
          <t>ARS</t>
        </is>
      </c>
      <c r="K216" t="n">
        <v>503000</v>
      </c>
      <c r="L216" t="n">
        <v>0</v>
      </c>
      <c r="M216" t="n">
        <v>0</v>
      </c>
      <c r="N216" t="n">
        <v>1669</v>
      </c>
      <c r="O216" t="n">
        <v>0</v>
      </c>
      <c r="P216" t="n">
        <v>0</v>
      </c>
      <c r="Q216">
        <f>IF(M219&lt;=0,"Cobrada",IF(L219&gt;0,"Parcial",IF(C219&lt;Resumen!$B$3,"Vencida",IF(C219&lt;=Resumen!$B$3+15,"Por vencer","Pendiente"))))</f>
        <v/>
      </c>
      <c r="R216" t="n">
        <v>0</v>
      </c>
      <c r="S216">
        <f>IF(M219&lt;=0,"Sin prioridad",IF(R219&gt;60,"Alta",IF(R219&gt;30,"Media",IF(C219&lt;=Resumen!$B$3+15,"Media","Baja"))))</f>
        <v/>
      </c>
      <c r="T216" t="inlineStr">
        <is>
          <t>Sofía</t>
        </is>
      </c>
      <c r="U216" t="inlineStr">
        <is>
          <t>Escalar gestión</t>
        </is>
      </c>
      <c r="V216" t="inlineStr">
        <is>
          <t>Sin respuesta del cliente</t>
        </is>
      </c>
      <c r="Y216" t="inlineStr">
        <is>
          <t>2026-T2</t>
        </is>
      </c>
      <c r="Z216">
        <f>IF(AND(M219&gt;0,C219&lt;Resumen!$B$3),"Sí","No")</f>
        <v/>
      </c>
      <c r="AA216">
        <f>IF(AND(L219&gt;0,M219&gt;0),"Sí","No")</f>
        <v/>
      </c>
      <c r="AB216">
        <f>IF(J219="USD","Sí","No")</f>
        <v/>
      </c>
    </row>
    <row r="217">
      <c r="A217" t="inlineStr">
        <is>
          <t>FAC-00220</t>
        </is>
      </c>
      <c r="B217" s="33" t="n">
        <v>46181</v>
      </c>
      <c r="C217" s="33" t="n">
        <v>46226</v>
      </c>
      <c r="E217" t="inlineStr">
        <is>
          <t>CL-018</t>
        </is>
      </c>
      <c r="F217" t="inlineStr">
        <is>
          <t>Río Claro Servicios S.R.L.</t>
        </is>
      </c>
      <c r="G217" t="inlineStr">
        <is>
          <t>PyME servicios recurrentes</t>
        </is>
      </c>
      <c r="H217" t="inlineStr">
        <is>
          <t>SRV-002</t>
        </is>
      </c>
      <c r="I217" t="inlineStr">
        <is>
          <t>Soporte operativo</t>
        </is>
      </c>
      <c r="J217" t="inlineStr">
        <is>
          <t>ARS</t>
        </is>
      </c>
      <c r="K217" t="n">
        <v>613000</v>
      </c>
      <c r="L217" t="n">
        <v>0</v>
      </c>
      <c r="M217" t="n">
        <v>0</v>
      </c>
      <c r="N217" t="n">
        <v>1669</v>
      </c>
      <c r="O217" t="n">
        <v>0</v>
      </c>
      <c r="P217" t="n">
        <v>0</v>
      </c>
      <c r="Q217">
        <f>IF(M221&lt;=0,"Cobrada",IF(L221&gt;0,"Parcial",IF(C221&lt;Resumen!$B$3,"Vencida",IF(C221&lt;=Resumen!$B$3+15,"Por vencer","Pendiente"))))</f>
        <v/>
      </c>
      <c r="R217" t="n">
        <v>0</v>
      </c>
      <c r="S217">
        <f>IF(M221&lt;=0,"Sin prioridad",IF(R221&gt;60,"Alta",IF(R221&gt;30,"Media",IF(C221&lt;=Resumen!$B$3+15,"Media","Baja"))))</f>
        <v/>
      </c>
      <c r="T217" t="inlineStr">
        <is>
          <t>Ana</t>
        </is>
      </c>
      <c r="U217" t="inlineStr">
        <is>
          <t>Monitorear vencimiento</t>
        </is>
      </c>
      <c r="V217" t="inlineStr">
        <is>
          <t>Sin respuesta del cliente</t>
        </is>
      </c>
      <c r="Y217" t="inlineStr">
        <is>
          <t>2026-T2</t>
        </is>
      </c>
      <c r="Z217">
        <f>IF(AND(M221&gt;0,C221&lt;Resumen!$B$3),"Sí","No")</f>
        <v/>
      </c>
      <c r="AA217">
        <f>IF(AND(L221&gt;0,M221&gt;0),"Sí","No")</f>
        <v/>
      </c>
      <c r="AB217">
        <f>IF(J221="USD","Sí","No")</f>
        <v/>
      </c>
    </row>
    <row r="218">
      <c r="A218" t="inlineStr">
        <is>
          <t>FAC-00216</t>
        </is>
      </c>
      <c r="B218" s="33" t="n">
        <v>46184</v>
      </c>
      <c r="C218" s="33" t="n">
        <v>46244</v>
      </c>
      <c r="E218" t="inlineStr">
        <is>
          <t>CL-006</t>
        </is>
      </c>
      <c r="F218" t="inlineStr">
        <is>
          <t>Delta Gestión PyME S.A.</t>
        </is>
      </c>
      <c r="G218" t="inlineStr">
        <is>
          <t>PyME servicios recurrentes</t>
        </is>
      </c>
      <c r="H218" t="inlineStr">
        <is>
          <t>SRV-005</t>
        </is>
      </c>
      <c r="I218" t="inlineStr">
        <is>
          <t>Servicio extraordinario puntual</t>
        </is>
      </c>
      <c r="J218" t="inlineStr">
        <is>
          <t>ARS</t>
        </is>
      </c>
      <c r="K218" t="n">
        <v>735000</v>
      </c>
      <c r="L218" t="n">
        <v>0</v>
      </c>
      <c r="M218" t="n">
        <v>0</v>
      </c>
      <c r="N218" t="n">
        <v>1669</v>
      </c>
      <c r="O218" t="n">
        <v>0</v>
      </c>
      <c r="P218" t="n">
        <v>0</v>
      </c>
      <c r="Q218">
        <f>IF(M217&lt;=0,"Cobrada",IF(L217&gt;0,"Parcial",IF(C217&lt;Resumen!$B$3,"Vencida",IF(C217&lt;=Resumen!$B$3+15,"Por vencer","Pendiente"))))</f>
        <v/>
      </c>
      <c r="R218" t="n">
        <v>0</v>
      </c>
      <c r="S218">
        <f>IF(M217&lt;=0,"Sin prioridad",IF(R217&gt;60,"Alta",IF(R217&gt;30,"Media",IF(C217&lt;=Resumen!$B$3+15,"Media","Baja"))))</f>
        <v/>
      </c>
      <c r="T218" t="inlineStr">
        <is>
          <t>Ana</t>
        </is>
      </c>
      <c r="U218" t="inlineStr">
        <is>
          <t>Monitorear vencimiento</t>
        </is>
      </c>
      <c r="V218" t="inlineStr">
        <is>
          <t>Pago prometido para próxima semana</t>
        </is>
      </c>
      <c r="Y218" t="inlineStr">
        <is>
          <t>2026-T2</t>
        </is>
      </c>
      <c r="Z218">
        <f>IF(AND(M217&gt;0,C217&lt;Resumen!$B$3),"Sí","No")</f>
        <v/>
      </c>
      <c r="AA218">
        <f>IF(AND(L217&gt;0,M217&gt;0),"Sí","No")</f>
        <v/>
      </c>
      <c r="AB218">
        <f>IF(J217="USD","Sí","No")</f>
        <v/>
      </c>
    </row>
    <row r="219">
      <c r="A219" t="inlineStr">
        <is>
          <t>FAC-00211</t>
        </is>
      </c>
      <c r="B219" s="33" t="n">
        <v>46187</v>
      </c>
      <c r="C219" s="33" t="n">
        <v>46202</v>
      </c>
      <c r="E219" t="inlineStr">
        <is>
          <t>CL-001</t>
        </is>
      </c>
      <c r="F219" t="inlineStr">
        <is>
          <t>Altos del Centro S.R.L.</t>
        </is>
      </c>
      <c r="G219" t="inlineStr">
        <is>
          <t>PyME servicios recurrentes</t>
        </is>
      </c>
      <c r="H219" t="inlineStr">
        <is>
          <t>SRV-001</t>
        </is>
      </c>
      <c r="I219" t="inlineStr">
        <is>
          <t>Abono mensual administrativo</t>
        </is>
      </c>
      <c r="J219" t="inlineStr">
        <is>
          <t>ARS</t>
        </is>
      </c>
      <c r="K219" t="n">
        <v>769000</v>
      </c>
      <c r="L219" t="n">
        <v>0</v>
      </c>
      <c r="M219" t="n">
        <v>0</v>
      </c>
      <c r="N219" t="n">
        <v>1669</v>
      </c>
      <c r="O219" t="n">
        <v>0</v>
      </c>
      <c r="P219" t="n">
        <v>0</v>
      </c>
      <c r="Q219">
        <f>IF(M212&lt;=0,"Cobrada",IF(L212&gt;0,"Parcial",IF(C212&lt;Resumen!$B$3,"Vencida",IF(C212&lt;=Resumen!$B$3+15,"Por vencer","Pendiente"))))</f>
        <v/>
      </c>
      <c r="R219" t="n">
        <v>0</v>
      </c>
      <c r="S219">
        <f>IF(M212&lt;=0,"Sin prioridad",IF(R212&gt;60,"Alta",IF(R212&gt;30,"Media",IF(C212&lt;=Resumen!$B$3+15,"Media","Baja"))))</f>
        <v/>
      </c>
      <c r="T219" t="inlineStr">
        <is>
          <t>Carlos</t>
        </is>
      </c>
      <c r="U219" t="inlineStr">
        <is>
          <t>Escalar gestión</t>
        </is>
      </c>
      <c r="V219" t="inlineStr">
        <is>
          <t>Pago prometido para próxima semana</t>
        </is>
      </c>
      <c r="Y219" t="inlineStr">
        <is>
          <t>2026-T2</t>
        </is>
      </c>
      <c r="Z219">
        <f>IF(AND(M212&gt;0,C212&lt;Resumen!$B$3),"Sí","No")</f>
        <v/>
      </c>
      <c r="AA219">
        <f>IF(AND(L212&gt;0,M212&gt;0),"Sí","No")</f>
        <v/>
      </c>
      <c r="AB219">
        <f>IF(J212="USD","Sí","No")</f>
        <v/>
      </c>
    </row>
    <row r="220">
      <c r="A220" t="inlineStr">
        <is>
          <t>FAC-00215</t>
        </is>
      </c>
      <c r="B220" s="33" t="n">
        <v>46187</v>
      </c>
      <c r="C220" s="33" t="n">
        <v>46217</v>
      </c>
      <c r="E220" t="inlineStr">
        <is>
          <t>CL-021</t>
        </is>
      </c>
      <c r="F220" t="inlineStr">
        <is>
          <t>Unión PyME Servicios S.A.</t>
        </is>
      </c>
      <c r="G220" t="inlineStr">
        <is>
          <t>PyME servicios recurrentes</t>
        </is>
      </c>
      <c r="H220" t="inlineStr">
        <is>
          <t>SRV-002</t>
        </is>
      </c>
      <c r="I220" t="inlineStr">
        <is>
          <t>Soporte operativo</t>
        </is>
      </c>
      <c r="J220" t="inlineStr">
        <is>
          <t>ARS</t>
        </is>
      </c>
      <c r="K220" t="n">
        <v>845000</v>
      </c>
      <c r="L220" t="n">
        <v>0</v>
      </c>
      <c r="M220" t="n">
        <v>0</v>
      </c>
      <c r="N220" t="n">
        <v>1669</v>
      </c>
      <c r="O220" t="n">
        <v>0</v>
      </c>
      <c r="P220" t="n">
        <v>0</v>
      </c>
      <c r="Q220">
        <f>IF(M216&lt;=0,"Cobrada",IF(L216&gt;0,"Parcial",IF(C216&lt;Resumen!$B$3,"Vencida",IF(C216&lt;=Resumen!$B$3+15,"Por vencer","Pendiente"))))</f>
        <v/>
      </c>
      <c r="R220" t="n">
        <v>0</v>
      </c>
      <c r="S220">
        <f>IF(M216&lt;=0,"Sin prioridad",IF(R216&gt;60,"Alta",IF(R216&gt;30,"Media",IF(C216&lt;=Resumen!$B$3+15,"Media","Baja"))))</f>
        <v/>
      </c>
      <c r="T220" t="inlineStr">
        <is>
          <t>Ana</t>
        </is>
      </c>
      <c r="U220" t="inlineStr">
        <is>
          <t>Monitorear vencimiento</t>
        </is>
      </c>
      <c r="V220" t="inlineStr">
        <is>
          <t>Pago prometido para próxima semana</t>
        </is>
      </c>
      <c r="Y220" t="inlineStr">
        <is>
          <t>2026-T2</t>
        </is>
      </c>
      <c r="Z220">
        <f>IF(AND(M216&gt;0,C216&lt;Resumen!$B$3),"Sí","No")</f>
        <v/>
      </c>
      <c r="AA220">
        <f>IF(AND(L216&gt;0,M216&gt;0),"Sí","No")</f>
        <v/>
      </c>
      <c r="AB220">
        <f>IF(J216="USD","Sí","No")</f>
        <v/>
      </c>
    </row>
    <row r="221">
      <c r="A221" t="inlineStr">
        <is>
          <t>FAC-00221</t>
        </is>
      </c>
      <c r="B221" s="33" t="n">
        <v>46190</v>
      </c>
      <c r="C221" s="33" t="n">
        <v>46205</v>
      </c>
      <c r="E221" t="inlineStr">
        <is>
          <t>CL-001</t>
        </is>
      </c>
      <c r="F221" t="inlineStr">
        <is>
          <t>Altos del Centro S.R.L.</t>
        </is>
      </c>
      <c r="G221" t="inlineStr">
        <is>
          <t>PyME servicios recurrentes</t>
        </is>
      </c>
      <c r="H221" t="inlineStr">
        <is>
          <t>SRV-005</t>
        </is>
      </c>
      <c r="I221" t="inlineStr">
        <is>
          <t>Servicio extraordinario puntual</t>
        </is>
      </c>
      <c r="J221" t="inlineStr">
        <is>
          <t>ARS</t>
        </is>
      </c>
      <c r="K221" t="n">
        <v>704000</v>
      </c>
      <c r="L221" t="n">
        <v>0</v>
      </c>
      <c r="M221" t="n">
        <v>0</v>
      </c>
      <c r="N221" t="n">
        <v>1669</v>
      </c>
      <c r="O221" t="n">
        <v>0</v>
      </c>
      <c r="P221" t="n">
        <v>0</v>
      </c>
      <c r="Q221">
        <f>IF(M222&lt;=0,"Cobrada",IF(L222&gt;0,"Parcial",IF(C222&lt;Resumen!$B$3,"Vencida",IF(C222&lt;=Resumen!$B$3+15,"Por vencer","Pendiente"))))</f>
        <v/>
      </c>
      <c r="R221" t="n">
        <v>0</v>
      </c>
      <c r="S221">
        <f>IF(M222&lt;=0,"Sin prioridad",IF(R222&gt;60,"Alta",IF(R222&gt;30,"Media",IF(C222&lt;=Resumen!$B$3+15,"Media","Baja"))))</f>
        <v/>
      </c>
      <c r="T221" t="inlineStr">
        <is>
          <t>Carlos</t>
        </is>
      </c>
      <c r="U221" t="inlineStr">
        <is>
          <t>Monitorear vencimiento</t>
        </is>
      </c>
      <c r="V221" t="inlineStr">
        <is>
          <t>Cliente solicita reenvío de factura</t>
        </is>
      </c>
      <c r="Y221" t="inlineStr">
        <is>
          <t>2026-T2</t>
        </is>
      </c>
      <c r="Z221">
        <f>IF(AND(M222&gt;0,C222&lt;Resumen!$B$3),"Sí","No")</f>
        <v/>
      </c>
      <c r="AA221">
        <f>IF(AND(L222&gt;0,M222&gt;0),"Sí","No")</f>
        <v/>
      </c>
      <c r="AB221">
        <f>IF(J222="USD","Sí","No")</f>
        <v/>
      </c>
    </row>
    <row r="222">
      <c r="A222" t="inlineStr">
        <is>
          <t>FAC-00226</t>
        </is>
      </c>
      <c r="B222" s="33" t="n">
        <v>46190</v>
      </c>
      <c r="C222" s="33" t="n">
        <v>46235</v>
      </c>
      <c r="E222" t="inlineStr">
        <is>
          <t>CL-018</t>
        </is>
      </c>
      <c r="F222" t="inlineStr">
        <is>
          <t>Río Claro Servicios S.R.L.</t>
        </is>
      </c>
      <c r="G222" t="inlineStr">
        <is>
          <t>PyME servicios recurrentes</t>
        </is>
      </c>
      <c r="H222" t="inlineStr">
        <is>
          <t>SRV-001</t>
        </is>
      </c>
      <c r="I222" t="inlineStr">
        <is>
          <t>Abono mensual administrativo</t>
        </is>
      </c>
      <c r="J222" t="inlineStr">
        <is>
          <t>ARS</t>
        </is>
      </c>
      <c r="K222" t="n">
        <v>749000</v>
      </c>
      <c r="L222" t="n">
        <v>0</v>
      </c>
      <c r="M222" t="n">
        <v>0</v>
      </c>
      <c r="N222" t="n">
        <v>1669</v>
      </c>
      <c r="O222" t="n">
        <v>0</v>
      </c>
      <c r="P222" t="n">
        <v>0</v>
      </c>
      <c r="Q222">
        <f>IF(M227&lt;=0,"Cobrada",IF(L227&gt;0,"Parcial",IF(C227&lt;Resumen!$B$3,"Vencida",IF(C227&lt;=Resumen!$B$3+15,"Por vencer","Pendiente"))))</f>
        <v/>
      </c>
      <c r="R222" t="n">
        <v>0</v>
      </c>
      <c r="S222">
        <f>IF(M227&lt;=0,"Sin prioridad",IF(R227&gt;60,"Alta",IF(R227&gt;30,"Media",IF(C227&lt;=Resumen!$B$3+15,"Media","Baja"))))</f>
        <v/>
      </c>
      <c r="T222" t="inlineStr">
        <is>
          <t>Ana</t>
        </is>
      </c>
      <c r="U222" t="inlineStr">
        <is>
          <t>Monitorear vencimiento</t>
        </is>
      </c>
      <c r="V222" t="inlineStr">
        <is>
          <t>Pago prometido para próxima semana</t>
        </is>
      </c>
      <c r="Y222" t="inlineStr">
        <is>
          <t>2026-T2</t>
        </is>
      </c>
      <c r="Z222">
        <f>IF(AND(M227&gt;0,C227&lt;Resumen!$B$3),"Sí","No")</f>
        <v/>
      </c>
      <c r="AA222">
        <f>IF(AND(L227&gt;0,M227&gt;0),"Sí","No")</f>
        <v/>
      </c>
      <c r="AB222">
        <f>IF(J227="USD","Sí","No")</f>
        <v/>
      </c>
    </row>
    <row r="223">
      <c r="A223" t="inlineStr">
        <is>
          <t>FAC-00225</t>
        </is>
      </c>
      <c r="B223" s="33" t="n">
        <v>46192</v>
      </c>
      <c r="C223" s="33" t="n">
        <v>46207</v>
      </c>
      <c r="E223" t="inlineStr">
        <is>
          <t>CL-013</t>
        </is>
      </c>
      <c r="F223" t="inlineStr">
        <is>
          <t>Mercurio PyME S.A.</t>
        </is>
      </c>
      <c r="G223" t="inlineStr">
        <is>
          <t>PyME servicios recurrentes</t>
        </is>
      </c>
      <c r="H223" t="inlineStr">
        <is>
          <t>SRV-001</t>
        </is>
      </c>
      <c r="I223" t="inlineStr">
        <is>
          <t>Abono mensual administrativo</t>
        </is>
      </c>
      <c r="J223" t="inlineStr">
        <is>
          <t>ARS</t>
        </is>
      </c>
      <c r="K223" t="n">
        <v>384000</v>
      </c>
      <c r="L223" t="n">
        <v>0</v>
      </c>
      <c r="M223" t="n">
        <v>0</v>
      </c>
      <c r="N223" t="n">
        <v>1669</v>
      </c>
      <c r="O223" t="n">
        <v>0</v>
      </c>
      <c r="P223" t="n">
        <v>0</v>
      </c>
      <c r="Q223">
        <f>IF(M226&lt;=0,"Cobrada",IF(L226&gt;0,"Parcial",IF(C226&lt;Resumen!$B$3,"Vencida",IF(C226&lt;=Resumen!$B$3+15,"Por vencer","Pendiente"))))</f>
        <v/>
      </c>
      <c r="R223" t="n">
        <v>0</v>
      </c>
      <c r="S223">
        <f>IF(M226&lt;=0,"Sin prioridad",IF(R226&gt;60,"Alta",IF(R226&gt;30,"Media",IF(C226&lt;=Resumen!$B$3+15,"Media","Baja"))))</f>
        <v/>
      </c>
      <c r="T223" t="inlineStr">
        <is>
          <t>Sofía</t>
        </is>
      </c>
      <c r="U223" t="inlineStr">
        <is>
          <t>Monitorear vencimiento</t>
        </is>
      </c>
      <c r="V223" t="inlineStr">
        <is>
          <t>Pago prometido para próxima semana</t>
        </is>
      </c>
      <c r="Y223" t="inlineStr">
        <is>
          <t>2026-T2</t>
        </is>
      </c>
      <c r="Z223">
        <f>IF(AND(M226&gt;0,C226&lt;Resumen!$B$3),"Sí","No")</f>
        <v/>
      </c>
      <c r="AA223">
        <f>IF(AND(L226&gt;0,M226&gt;0),"Sí","No")</f>
        <v/>
      </c>
      <c r="AB223">
        <f>IF(J226="USD","Sí","No")</f>
        <v/>
      </c>
    </row>
    <row r="224">
      <c r="A224" t="inlineStr">
        <is>
          <t>FAC-00214</t>
        </is>
      </c>
      <c r="B224" s="33" t="n">
        <v>46194</v>
      </c>
      <c r="C224" s="33" t="n">
        <v>46224</v>
      </c>
      <c r="E224" t="inlineStr">
        <is>
          <t>CL-002</t>
        </is>
      </c>
      <c r="F224" t="inlineStr">
        <is>
          <t>Andes Gestión S.A.</t>
        </is>
      </c>
      <c r="G224" t="inlineStr">
        <is>
          <t>PyME servicios recurrentes</t>
        </is>
      </c>
      <c r="H224" t="inlineStr">
        <is>
          <t>SRV-004</t>
        </is>
      </c>
      <c r="I224" t="inlineStr">
        <is>
          <t>Reporte mensual / tablero de control</t>
        </is>
      </c>
      <c r="J224" t="inlineStr">
        <is>
          <t>USD</t>
        </is>
      </c>
      <c r="K224" t="n">
        <v>1150</v>
      </c>
      <c r="L224" t="n">
        <v>0</v>
      </c>
      <c r="M224" t="n">
        <v>0</v>
      </c>
      <c r="N224" t="n">
        <v>1669</v>
      </c>
      <c r="O224" t="n">
        <v>0</v>
      </c>
      <c r="P224" t="n">
        <v>0</v>
      </c>
      <c r="Q224">
        <f>IF(M215&lt;=0,"Cobrada",IF(L215&gt;0,"Parcial",IF(C215&lt;Resumen!$B$3,"Vencida",IF(C215&lt;=Resumen!$B$3+15,"Por vencer","Pendiente"))))</f>
        <v/>
      </c>
      <c r="R224" t="n">
        <v>0</v>
      </c>
      <c r="S224">
        <f>IF(M215&lt;=0,"Sin prioridad",IF(R215&gt;60,"Alta",IF(R215&gt;30,"Media",IF(C215&lt;=Resumen!$B$3+15,"Media","Baja"))))</f>
        <v/>
      </c>
      <c r="T224" t="inlineStr">
        <is>
          <t>Matías</t>
        </is>
      </c>
      <c r="U224" t="inlineStr">
        <is>
          <t>Monitorear vencimiento</t>
        </is>
      </c>
      <c r="Y224" t="inlineStr">
        <is>
          <t>2026-T2</t>
        </is>
      </c>
      <c r="Z224">
        <f>IF(AND(M215&gt;0,C215&lt;Resumen!$B$3),"Sí","No")</f>
        <v/>
      </c>
      <c r="AA224">
        <f>IF(AND(L215&gt;0,M215&gt;0),"Sí","No")</f>
        <v/>
      </c>
      <c r="AB224">
        <f>IF(J215="USD","Sí","No")</f>
        <v/>
      </c>
    </row>
    <row r="225">
      <c r="A225" t="inlineStr">
        <is>
          <t>FAC-00223</t>
        </is>
      </c>
      <c r="B225" s="33" t="n">
        <v>46194</v>
      </c>
      <c r="C225" s="33" t="n">
        <v>46239</v>
      </c>
      <c r="E225" t="inlineStr">
        <is>
          <t>CL-014</t>
        </is>
      </c>
      <c r="F225" t="inlineStr">
        <is>
          <t>Norte Gestión Integral S.R.L.</t>
        </is>
      </c>
      <c r="G225" t="inlineStr">
        <is>
          <t>PyME servicios recurrentes</t>
        </is>
      </c>
      <c r="H225" t="inlineStr">
        <is>
          <t>SRV-002</t>
        </is>
      </c>
      <c r="I225" t="inlineStr">
        <is>
          <t>Soporte operativo</t>
        </is>
      </c>
      <c r="J225" t="inlineStr">
        <is>
          <t>ARS</t>
        </is>
      </c>
      <c r="K225" t="n">
        <v>653000</v>
      </c>
      <c r="L225" t="n">
        <v>0</v>
      </c>
      <c r="M225" t="n">
        <v>0</v>
      </c>
      <c r="N225" t="n">
        <v>1669</v>
      </c>
      <c r="O225" t="n">
        <v>0</v>
      </c>
      <c r="P225" t="n">
        <v>0</v>
      </c>
      <c r="Q225">
        <f>IF(M224&lt;=0,"Cobrada",IF(L224&gt;0,"Parcial",IF(C224&lt;Resumen!$B$3,"Vencida",IF(C224&lt;=Resumen!$B$3+15,"Por vencer","Pendiente"))))</f>
        <v/>
      </c>
      <c r="R225" t="n">
        <v>0</v>
      </c>
      <c r="S225">
        <f>IF(M224&lt;=0,"Sin prioridad",IF(R224&gt;60,"Alta",IF(R224&gt;30,"Media",IF(C224&lt;=Resumen!$B$3+15,"Media","Baja"))))</f>
        <v/>
      </c>
      <c r="T225" t="inlineStr">
        <is>
          <t>Carlos</t>
        </is>
      </c>
      <c r="U225" t="inlineStr">
        <is>
          <t>Monitorear vencimiento</t>
        </is>
      </c>
      <c r="V225" t="inlineStr">
        <is>
          <t>En seguimiento administrativo</t>
        </is>
      </c>
      <c r="Y225" t="inlineStr">
        <is>
          <t>2026-T2</t>
        </is>
      </c>
      <c r="Z225">
        <f>IF(AND(M224&gt;0,C224&lt;Resumen!$B$3),"Sí","No")</f>
        <v/>
      </c>
      <c r="AA225">
        <f>IF(AND(L224&gt;0,M224&gt;0),"Sí","No")</f>
        <v/>
      </c>
      <c r="AB225">
        <f>IF(J224="USD","Sí","No")</f>
        <v/>
      </c>
    </row>
    <row r="226">
      <c r="A226" t="inlineStr">
        <is>
          <t>FAC-00210</t>
        </is>
      </c>
      <c r="B226" s="33" t="n">
        <v>46197</v>
      </c>
      <c r="C226" s="33" t="n">
        <v>46227</v>
      </c>
      <c r="E226" t="inlineStr">
        <is>
          <t>CL-009</t>
        </is>
      </c>
      <c r="F226" t="inlineStr">
        <is>
          <t>Grupo Nexo PyME S.A.</t>
        </is>
      </c>
      <c r="G226" t="inlineStr">
        <is>
          <t>PyME servicios recurrentes</t>
        </is>
      </c>
      <c r="H226" t="inlineStr">
        <is>
          <t>SRV-004</t>
        </is>
      </c>
      <c r="I226" t="inlineStr">
        <is>
          <t>Reporte mensual / tablero de control</t>
        </is>
      </c>
      <c r="J226" t="inlineStr">
        <is>
          <t>USD</t>
        </is>
      </c>
      <c r="K226" t="n">
        <v>550</v>
      </c>
      <c r="L226" t="n">
        <v>0</v>
      </c>
      <c r="M226" t="n">
        <v>0</v>
      </c>
      <c r="N226" t="n">
        <v>1669</v>
      </c>
      <c r="O226" t="n">
        <v>0</v>
      </c>
      <c r="P226" t="n">
        <v>0</v>
      </c>
      <c r="Q226">
        <f>IF(M211&lt;=0,"Cobrada",IF(L211&gt;0,"Parcial",IF(C211&lt;Resumen!$B$3,"Vencida",IF(C211&lt;=Resumen!$B$3+15,"Por vencer","Pendiente"))))</f>
        <v/>
      </c>
      <c r="R226" t="n">
        <v>0</v>
      </c>
      <c r="S226">
        <f>IF(M211&lt;=0,"Sin prioridad",IF(R211&gt;60,"Alta",IF(R211&gt;30,"Media",IF(C211&lt;=Resumen!$B$3+15,"Media","Baja"))))</f>
        <v/>
      </c>
      <c r="T226" t="inlineStr">
        <is>
          <t>Ana</t>
        </is>
      </c>
      <c r="U226" t="inlineStr">
        <is>
          <t>Monitorear vencimiento</t>
        </is>
      </c>
      <c r="V226" t="inlineStr">
        <is>
          <t>Pago prometido para próxima semana</t>
        </is>
      </c>
      <c r="Y226" t="inlineStr">
        <is>
          <t>2026-T2</t>
        </is>
      </c>
      <c r="Z226">
        <f>IF(AND(M211&gt;0,C211&lt;Resumen!$B$3),"Sí","No")</f>
        <v/>
      </c>
      <c r="AA226">
        <f>IF(AND(L211&gt;0,M211&gt;0),"Sí","No")</f>
        <v/>
      </c>
      <c r="AB226">
        <f>IF(J211="USD","Sí","No")</f>
        <v/>
      </c>
    </row>
    <row r="227">
      <c r="A227" t="inlineStr">
        <is>
          <t>FAC-00213</t>
        </is>
      </c>
      <c r="B227" s="33" t="n">
        <v>46197</v>
      </c>
      <c r="C227" s="33" t="n">
        <v>46242</v>
      </c>
      <c r="E227" t="inlineStr">
        <is>
          <t>CL-014</t>
        </is>
      </c>
      <c r="F227" t="inlineStr">
        <is>
          <t>Norte Gestión Integral S.R.L.</t>
        </is>
      </c>
      <c r="G227" t="inlineStr">
        <is>
          <t>PyME servicios recurrentes</t>
        </is>
      </c>
      <c r="H227" t="inlineStr">
        <is>
          <t>SRV-001</t>
        </is>
      </c>
      <c r="I227" t="inlineStr">
        <is>
          <t>Abono mensual administrativo</t>
        </is>
      </c>
      <c r="J227" t="inlineStr">
        <is>
          <t>ARS</t>
        </is>
      </c>
      <c r="K227" t="n">
        <v>883000</v>
      </c>
      <c r="L227" t="n">
        <v>0</v>
      </c>
      <c r="M227" t="n">
        <v>0</v>
      </c>
      <c r="N227" t="n">
        <v>1669</v>
      </c>
      <c r="O227" t="n">
        <v>0</v>
      </c>
      <c r="P227" t="n">
        <v>0</v>
      </c>
      <c r="Q227">
        <f>IF(M214&lt;=0,"Cobrada",IF(L214&gt;0,"Parcial",IF(C214&lt;Resumen!$B$3,"Vencida",IF(C214&lt;=Resumen!$B$3+15,"Por vencer","Pendiente"))))</f>
        <v/>
      </c>
      <c r="R227" t="n">
        <v>0</v>
      </c>
      <c r="S227">
        <f>IF(M214&lt;=0,"Sin prioridad",IF(R214&gt;60,"Alta",IF(R214&gt;30,"Media",IF(C214&lt;=Resumen!$B$3+15,"Media","Baja"))))</f>
        <v/>
      </c>
      <c r="T227" t="inlineStr">
        <is>
          <t>Carlos</t>
        </is>
      </c>
      <c r="U227" t="inlineStr">
        <is>
          <t>Monitorear vencimiento</t>
        </is>
      </c>
      <c r="V227" t="inlineStr">
        <is>
          <t>Pendiente de confirmación de pago</t>
        </is>
      </c>
      <c r="Y227" t="inlineStr">
        <is>
          <t>2026-T2</t>
        </is>
      </c>
      <c r="Z227">
        <f>IF(AND(M214&gt;0,C214&lt;Resumen!$B$3),"Sí","No")</f>
        <v/>
      </c>
      <c r="AA227">
        <f>IF(AND(L214&gt;0,M214&gt;0),"Sí","No")</f>
        <v/>
      </c>
      <c r="AB227">
        <f>IF(J214="USD","Sí","No")</f>
        <v/>
      </c>
    </row>
    <row r="228">
      <c r="A228" t="inlineStr">
        <is>
          <t>FAC-00227</t>
        </is>
      </c>
      <c r="B228" s="33" t="n">
        <v>46198</v>
      </c>
      <c r="C228" s="33" t="n">
        <v>46243</v>
      </c>
      <c r="E228" t="inlineStr">
        <is>
          <t>CL-022</t>
        </is>
      </c>
      <c r="F228" t="inlineStr">
        <is>
          <t>Valle Operativo S.R.L.</t>
        </is>
      </c>
      <c r="G228" t="inlineStr">
        <is>
          <t>PyME servicios recurrentes</t>
        </is>
      </c>
      <c r="H228" t="inlineStr">
        <is>
          <t>SRV-001</t>
        </is>
      </c>
      <c r="I228" t="inlineStr">
        <is>
          <t>Abono mensual administrativo</t>
        </is>
      </c>
      <c r="J228" t="inlineStr">
        <is>
          <t>ARS</t>
        </is>
      </c>
      <c r="K228" t="n">
        <v>682000</v>
      </c>
      <c r="L228" t="n">
        <v>0</v>
      </c>
      <c r="M228" t="n">
        <v>0</v>
      </c>
      <c r="N228" t="n">
        <v>1669</v>
      </c>
      <c r="O228" t="n">
        <v>0</v>
      </c>
      <c r="P228" t="n">
        <v>0</v>
      </c>
      <c r="Q228">
        <f>IF(M228&lt;=0,"Cobrada",IF(L228&gt;0,"Parcial",IF(C228&lt;Resumen!$B$3,"Vencida",IF(C228&lt;=Resumen!$B$3+15,"Por vencer","Pendiente"))))</f>
        <v/>
      </c>
      <c r="R228" t="n">
        <v>0</v>
      </c>
      <c r="S228">
        <f>IF(M228&lt;=0,"Sin prioridad",IF(R228&gt;60,"Alta",IF(R228&gt;30,"Media",IF(C228&lt;=Resumen!$B$3+15,"Media","Baja"))))</f>
        <v/>
      </c>
      <c r="T228" t="inlineStr">
        <is>
          <t>Ana</t>
        </is>
      </c>
      <c r="U228" t="inlineStr">
        <is>
          <t>Monitorear vencimiento</t>
        </is>
      </c>
      <c r="Y228" t="inlineStr">
        <is>
          <t>2026-T2</t>
        </is>
      </c>
      <c r="Z228">
        <f>IF(AND(M228&gt;0,C228&lt;Resumen!$B$3),"Sí","No")</f>
        <v/>
      </c>
      <c r="AA228">
        <f>IF(AND(L228&gt;0,M228&gt;0),"Sí","No")</f>
        <v/>
      </c>
      <c r="AB228">
        <f>IF(J228="USD","Sí","No")</f>
        <v/>
      </c>
    </row>
    <row r="229">
      <c r="A229" t="inlineStr">
        <is>
          <t>FAC-00222</t>
        </is>
      </c>
      <c r="B229" s="33" t="n">
        <v>46199</v>
      </c>
      <c r="C229" s="33" t="n">
        <v>46214</v>
      </c>
      <c r="E229" t="inlineStr">
        <is>
          <t>CL-005</t>
        </is>
      </c>
      <c r="F229" t="inlineStr">
        <is>
          <t>Cerro Azul S.R.L.</t>
        </is>
      </c>
      <c r="G229" t="inlineStr">
        <is>
          <t>PyME servicios recurrentes</t>
        </is>
      </c>
      <c r="H229" t="inlineStr">
        <is>
          <t>SRV-003</t>
        </is>
      </c>
      <c r="I229" t="inlineStr">
        <is>
          <t>Consultoría de gestión</t>
        </is>
      </c>
      <c r="J229" t="inlineStr">
        <is>
          <t>USD</t>
        </is>
      </c>
      <c r="K229" t="n">
        <v>2050</v>
      </c>
      <c r="L229" t="n">
        <v>0</v>
      </c>
      <c r="M229" t="n">
        <v>0</v>
      </c>
      <c r="N229" t="n">
        <v>1669</v>
      </c>
      <c r="O229" t="n">
        <v>0</v>
      </c>
      <c r="P229" t="n">
        <v>0</v>
      </c>
      <c r="Q229">
        <f>IF(M223&lt;=0,"Cobrada",IF(L223&gt;0,"Parcial",IF(C223&lt;Resumen!$B$3,"Vencida",IF(C223&lt;=Resumen!$B$3+15,"Por vencer","Pendiente"))))</f>
        <v/>
      </c>
      <c r="R229" t="n">
        <v>0</v>
      </c>
      <c r="S229">
        <f>IF(M223&lt;=0,"Sin prioridad",IF(R223&gt;60,"Alta",IF(R223&gt;30,"Media",IF(C223&lt;=Resumen!$B$3+15,"Media","Baja"))))</f>
        <v/>
      </c>
      <c r="T229" t="inlineStr">
        <is>
          <t>Ana</t>
        </is>
      </c>
      <c r="U229" t="inlineStr">
        <is>
          <t>Monitorear vencimiento</t>
        </is>
      </c>
      <c r="V229" t="inlineStr">
        <is>
          <t>Pendiente de confirmación de pago</t>
        </is>
      </c>
      <c r="Y229" t="inlineStr">
        <is>
          <t>2026-T2</t>
        </is>
      </c>
      <c r="Z229">
        <f>IF(AND(M223&gt;0,C223&lt;Resumen!$B$3),"Sí","No")</f>
        <v/>
      </c>
      <c r="AA229">
        <f>IF(AND(L223&gt;0,M223&gt;0),"Sí","No")</f>
        <v/>
      </c>
      <c r="AB229">
        <f>IF(J223="USD","Sí","No")</f>
        <v/>
      </c>
    </row>
    <row r="230">
      <c r="A230" t="inlineStr">
        <is>
          <t>FAC-00212</t>
        </is>
      </c>
      <c r="B230" s="33" t="n">
        <v>46201</v>
      </c>
      <c r="C230" s="33" t="n">
        <v>46246</v>
      </c>
      <c r="E230" t="inlineStr">
        <is>
          <t>CL-024</t>
        </is>
      </c>
      <c r="F230" t="inlineStr">
        <is>
          <t>Zonda Gestión S.R.L.</t>
        </is>
      </c>
      <c r="G230" t="inlineStr">
        <is>
          <t>PyME servicios recurrentes</t>
        </is>
      </c>
      <c r="H230" t="inlineStr">
        <is>
          <t>SRV-001</t>
        </is>
      </c>
      <c r="I230" t="inlineStr">
        <is>
          <t>Abono mensual administrativo</t>
        </is>
      </c>
      <c r="J230" t="inlineStr">
        <is>
          <t>USD</t>
        </is>
      </c>
      <c r="K230" t="n">
        <v>850</v>
      </c>
      <c r="L230" t="n">
        <v>0</v>
      </c>
      <c r="M230" t="n">
        <v>0</v>
      </c>
      <c r="N230" t="n">
        <v>1669</v>
      </c>
      <c r="O230" t="n">
        <v>0</v>
      </c>
      <c r="P230" t="n">
        <v>0</v>
      </c>
      <c r="Q230">
        <f>IF(M213&lt;=0,"Cobrada",IF(L213&gt;0,"Parcial",IF(C213&lt;Resumen!$B$3,"Vencida",IF(C213&lt;=Resumen!$B$3+15,"Por vencer","Pendiente"))))</f>
        <v/>
      </c>
      <c r="R230" t="n">
        <v>0</v>
      </c>
      <c r="S230">
        <f>IF(M213&lt;=0,"Sin prioridad",IF(R213&gt;60,"Alta",IF(R213&gt;30,"Media",IF(C213&lt;=Resumen!$B$3+15,"Media","Baja"))))</f>
        <v/>
      </c>
      <c r="T230" t="inlineStr">
        <is>
          <t>Sofía</t>
        </is>
      </c>
      <c r="U230" t="inlineStr">
        <is>
          <t>Monitorear vencimiento</t>
        </is>
      </c>
      <c r="V230" t="inlineStr">
        <is>
          <t>Pago prometido para próxima semana</t>
        </is>
      </c>
      <c r="Y230" t="inlineStr">
        <is>
          <t>2026-T2</t>
        </is>
      </c>
      <c r="Z230">
        <f>IF(AND(M213&gt;0,C213&lt;Resumen!$B$3),"Sí","No")</f>
        <v/>
      </c>
      <c r="AA230">
        <f>IF(AND(L213&gt;0,M213&gt;0),"Sí","No")</f>
        <v/>
      </c>
      <c r="AB230">
        <f>IF(J213="USD","Sí","No")</f>
        <v/>
      </c>
    </row>
    <row r="231">
      <c r="A231" t="inlineStr">
        <is>
          <t>FAC-00230</t>
        </is>
      </c>
      <c r="B231" s="33" t="n">
        <v>46201</v>
      </c>
      <c r="C231" s="33" t="n">
        <v>46261</v>
      </c>
      <c r="E231" t="inlineStr">
        <is>
          <t>CL-006</t>
        </is>
      </c>
      <c r="F231" t="inlineStr">
        <is>
          <t>Delta Gestión PyME S.A.</t>
        </is>
      </c>
      <c r="G231" t="inlineStr">
        <is>
          <t>PyME servicios recurrentes</t>
        </is>
      </c>
      <c r="H231" t="inlineStr">
        <is>
          <t>SRV-005</t>
        </is>
      </c>
      <c r="I231" t="inlineStr">
        <is>
          <t>Servicio extraordinario puntual</t>
        </is>
      </c>
      <c r="J231" t="inlineStr">
        <is>
          <t>ARS</t>
        </is>
      </c>
      <c r="K231" t="n">
        <v>718000</v>
      </c>
      <c r="L231" t="n">
        <v>0</v>
      </c>
      <c r="M231" t="n">
        <v>0</v>
      </c>
      <c r="N231" t="n">
        <v>1669</v>
      </c>
      <c r="O231" t="n">
        <v>0</v>
      </c>
      <c r="P231" t="n">
        <v>0</v>
      </c>
      <c r="Q231">
        <f>IF(M231&lt;=0,"Cobrada",IF(L231&gt;0,"Parcial",IF(C231&lt;Resumen!$B$3,"Vencida",IF(C231&lt;=Resumen!$B$3+15,"Por vencer","Pendiente"))))</f>
        <v/>
      </c>
      <c r="R231" t="n">
        <v>0</v>
      </c>
      <c r="S231">
        <f>IF(M231&lt;=0,"Sin prioridad",IF(R231&gt;60,"Alta",IF(R231&gt;30,"Media",IF(C231&lt;=Resumen!$B$3+15,"Media","Baja"))))</f>
        <v/>
      </c>
      <c r="T231" t="inlineStr">
        <is>
          <t>Ana</t>
        </is>
      </c>
      <c r="U231" t="inlineStr">
        <is>
          <t>Monitorear vencimiento</t>
        </is>
      </c>
      <c r="V231" t="inlineStr">
        <is>
          <t>Pago prometido para próxima semana</t>
        </is>
      </c>
      <c r="Y231" t="inlineStr">
        <is>
          <t>2026-T2</t>
        </is>
      </c>
      <c r="Z231">
        <f>IF(AND(M231&gt;0,C231&lt;Resumen!$B$3),"Sí","No")</f>
        <v/>
      </c>
      <c r="AA231">
        <f>IF(AND(L231&gt;0,M231&gt;0),"Sí","No")</f>
        <v/>
      </c>
      <c r="AB231">
        <f>IF(J231="USD","Sí","No")</f>
        <v/>
      </c>
    </row>
    <row r="232">
      <c r="A232" t="inlineStr">
        <is>
          <t>FAC-00238</t>
        </is>
      </c>
      <c r="B232" s="33" t="n">
        <v>46203</v>
      </c>
      <c r="C232" s="33" t="n">
        <v>46218</v>
      </c>
      <c r="D232" s="33" t="n">
        <v>46222</v>
      </c>
      <c r="E232" t="inlineStr">
        <is>
          <t>CL-017</t>
        </is>
      </c>
      <c r="F232">
        <f>IF($A18="","",_xlfn.XLOOKUP($A18,FacturasTable[id_cliente],FacturasTable[cliente],""))</f>
        <v/>
      </c>
      <c r="G232">
        <f>IF($A18="","",_xlfn.XLOOKUP($A18,FacturasTable[id_cliente],FacturasTable[tipo_cliente],""))</f>
        <v/>
      </c>
      <c r="H232" t="inlineStr">
        <is>
          <t>SRV-004</t>
        </is>
      </c>
      <c r="I232">
        <f>IF($A5="","",_xlfn.XLOOKUP($A5,FacturasTable[id_servicio],FacturasTable[tipo_servicio],""))</f>
        <v/>
      </c>
      <c r="J232" t="inlineStr">
        <is>
          <t>ARS</t>
        </is>
      </c>
      <c r="K232" t="n">
        <v>558000</v>
      </c>
      <c r="L232" t="n">
        <v>352494.27</v>
      </c>
      <c r="M232" t="n">
        <v>205505.73</v>
      </c>
      <c r="N232" t="n">
        <v>1</v>
      </c>
      <c r="O232" t="n">
        <v>558000</v>
      </c>
      <c r="P232" t="n">
        <v>205505.73</v>
      </c>
      <c r="Q232" t="inlineStr">
        <is>
          <t>Parcial</t>
        </is>
      </c>
      <c r="R232" t="n">
        <v>4</v>
      </c>
      <c r="S232" t="inlineStr">
        <is>
          <t>Media</t>
        </is>
      </c>
      <c r="T232">
        <f>IF($A18="","",_xlfn.XLOOKUP($A18,FacturasTable[id_cliente],FacturasTable[responsable],""))</f>
        <v/>
      </c>
      <c r="U232" t="inlineStr">
        <is>
          <t>Revisar pago parcial</t>
        </is>
      </c>
      <c r="V232" t="inlineStr">
        <is>
          <t>Movimiento ficticio agregado por rutina diaria</t>
        </is>
      </c>
      <c r="W232" s="33" t="n">
        <v>46174</v>
      </c>
      <c r="X232" s="33" t="n">
        <v>46204</v>
      </c>
      <c r="Y232" t="inlineStr">
        <is>
          <t>2026-T2</t>
        </is>
      </c>
      <c r="Z232" t="inlineStr">
        <is>
          <t>Sí</t>
        </is>
      </c>
      <c r="AA232" t="inlineStr">
        <is>
          <t>Sí</t>
        </is>
      </c>
      <c r="AB232" t="inlineStr">
        <is>
          <t>No</t>
        </is>
      </c>
    </row>
    <row r="233">
      <c r="A233" t="inlineStr">
        <is>
          <t>FAC-00231</t>
        </is>
      </c>
      <c r="B233" s="33" t="n">
        <v>46204</v>
      </c>
      <c r="C233" s="33" t="n">
        <v>46249</v>
      </c>
      <c r="E233" t="inlineStr">
        <is>
          <t>CL-012</t>
        </is>
      </c>
      <c r="F233" t="inlineStr">
        <is>
          <t>Litoral Soluciones S.R.L.</t>
        </is>
      </c>
      <c r="G233" t="inlineStr">
        <is>
          <t>PyME servicios recurrentes</t>
        </is>
      </c>
      <c r="H233" t="inlineStr">
        <is>
          <t>SRV-003</t>
        </is>
      </c>
      <c r="I233" t="inlineStr">
        <is>
          <t>Consultoría de gestión</t>
        </is>
      </c>
      <c r="J233" t="inlineStr">
        <is>
          <t>USD</t>
        </is>
      </c>
      <c r="K233" t="n">
        <v>1050</v>
      </c>
      <c r="L233" t="n">
        <v>0</v>
      </c>
      <c r="M233" t="n">
        <v>0</v>
      </c>
      <c r="N233" t="n">
        <v>1716</v>
      </c>
      <c r="O233" t="n">
        <v>0</v>
      </c>
      <c r="P233" t="n">
        <v>0</v>
      </c>
      <c r="Q233">
        <f>IF(M232&lt;=0,"Cobrada",IF(L232&gt;0,"Parcial",IF(C232&lt;Resumen!$B$3,"Vencida",IF(C232&lt;=Resumen!$B$3+15,"Por vencer","Pendiente"))))</f>
        <v/>
      </c>
      <c r="R233" t="n">
        <v>0</v>
      </c>
      <c r="S233">
        <f>IF(M232&lt;=0,"Sin prioridad",IF(R232&gt;60,"Alta",IF(R232&gt;30,"Media",IF(C232&lt;=Resumen!$B$3+15,"Media","Baja"))))</f>
        <v/>
      </c>
      <c r="T233" t="inlineStr">
        <is>
          <t>Matías</t>
        </is>
      </c>
      <c r="U233" t="inlineStr">
        <is>
          <t>Monitorear vencimiento</t>
        </is>
      </c>
      <c r="V233" t="inlineStr">
        <is>
          <t>En seguimiento administrativo</t>
        </is>
      </c>
      <c r="Y233" t="inlineStr">
        <is>
          <t>2026-T3</t>
        </is>
      </c>
      <c r="Z233">
        <f>IF(AND(M232&gt;0,C232&lt;Resumen!$B$3),"Sí","No")</f>
        <v/>
      </c>
      <c r="AA233">
        <f>IF(AND(L232&gt;0,M232&gt;0),"Sí","No")</f>
        <v/>
      </c>
      <c r="AB233">
        <f>IF(J232="USD","Sí","No")</f>
        <v/>
      </c>
    </row>
    <row r="234">
      <c r="A234" t="inlineStr">
        <is>
          <t>FAC-00232</t>
        </is>
      </c>
      <c r="B234" s="33" t="n">
        <v>46204</v>
      </c>
      <c r="C234" s="33" t="n">
        <v>46249</v>
      </c>
      <c r="E234" t="inlineStr">
        <is>
          <t>CL-018</t>
        </is>
      </c>
      <c r="F234" t="inlineStr">
        <is>
          <t>Río Claro Servicios S.R.L.</t>
        </is>
      </c>
      <c r="G234" t="inlineStr">
        <is>
          <t>PyME servicios recurrentes</t>
        </is>
      </c>
      <c r="H234" t="inlineStr">
        <is>
          <t>SRV-002</t>
        </is>
      </c>
      <c r="I234" t="inlineStr">
        <is>
          <t>Soporte operativo</t>
        </is>
      </c>
      <c r="J234" t="inlineStr">
        <is>
          <t>ARS</t>
        </is>
      </c>
      <c r="K234" t="n">
        <v>451000</v>
      </c>
      <c r="L234" t="n">
        <v>0</v>
      </c>
      <c r="M234" t="n">
        <v>0</v>
      </c>
      <c r="N234" t="n">
        <v>1716</v>
      </c>
      <c r="O234" t="n">
        <v>0</v>
      </c>
      <c r="P234" t="n">
        <v>0</v>
      </c>
      <c r="Q234">
        <f>IF(M233&lt;=0,"Cobrada",IF(L233&gt;0,"Parcial",IF(C233&lt;Resumen!$B$3,"Vencida",IF(C233&lt;=Resumen!$B$3+15,"Por vencer","Pendiente"))))</f>
        <v/>
      </c>
      <c r="R234" t="n">
        <v>0</v>
      </c>
      <c r="S234">
        <f>IF(M233&lt;=0,"Sin prioridad",IF(R233&gt;60,"Alta",IF(R233&gt;30,"Media",IF(C233&lt;=Resumen!$B$3+15,"Media","Baja"))))</f>
        <v/>
      </c>
      <c r="T234" t="inlineStr">
        <is>
          <t>Ana</t>
        </is>
      </c>
      <c r="U234" t="inlineStr">
        <is>
          <t>Monitorear vencimiento</t>
        </is>
      </c>
      <c r="V234" t="inlineStr">
        <is>
          <t>En seguimiento administrativo</t>
        </is>
      </c>
      <c r="Y234" t="inlineStr">
        <is>
          <t>2026-T3</t>
        </is>
      </c>
      <c r="Z234">
        <f>IF(AND(M233&gt;0,C233&lt;Resumen!$B$3),"Sí","No")</f>
        <v/>
      </c>
      <c r="AA234">
        <f>IF(AND(L233&gt;0,M233&gt;0),"Sí","No")</f>
        <v/>
      </c>
      <c r="AB234">
        <f>IF(J233="USD","Sí","No")</f>
        <v/>
      </c>
    </row>
    <row r="235">
      <c r="A235" t="inlineStr">
        <is>
          <t>FAC-00233</t>
        </is>
      </c>
      <c r="B235" s="33" t="n">
        <v>46204</v>
      </c>
      <c r="C235" s="33" t="n">
        <v>46234</v>
      </c>
      <c r="E235" t="inlineStr">
        <is>
          <t>CL-008</t>
        </is>
      </c>
      <c r="F235" t="inlineStr">
        <is>
          <t>Faro Administrativo S.A.S.</t>
        </is>
      </c>
      <c r="G235" t="inlineStr">
        <is>
          <t>PyME servicios recurrentes</t>
        </is>
      </c>
      <c r="H235" t="inlineStr">
        <is>
          <t>SRV-003</t>
        </is>
      </c>
      <c r="I235" t="inlineStr">
        <is>
          <t>Consultoría de gestión</t>
        </is>
      </c>
      <c r="J235" t="inlineStr">
        <is>
          <t>ARS</t>
        </is>
      </c>
      <c r="K235" t="n">
        <v>952000</v>
      </c>
      <c r="L235" t="n">
        <v>0</v>
      </c>
      <c r="M235" t="n">
        <v>0</v>
      </c>
      <c r="N235" t="n">
        <v>1716</v>
      </c>
      <c r="O235" t="n">
        <v>0</v>
      </c>
      <c r="P235" t="n">
        <v>0</v>
      </c>
      <c r="Q235">
        <f>IF(M234&lt;=0,"Cobrada",IF(L234&gt;0,"Parcial",IF(C234&lt;Resumen!$B$3,"Vencida",IF(C234&lt;=Resumen!$B$3+15,"Por vencer","Pendiente"))))</f>
        <v/>
      </c>
      <c r="R235" t="n">
        <v>0</v>
      </c>
      <c r="S235">
        <f>IF(M234&lt;=0,"Sin prioridad",IF(R234&gt;60,"Alta",IF(R234&gt;30,"Media",IF(C234&lt;=Resumen!$B$3+15,"Media","Baja"))))</f>
        <v/>
      </c>
      <c r="T235" t="inlineStr">
        <is>
          <t>Sofía</t>
        </is>
      </c>
      <c r="U235" t="inlineStr">
        <is>
          <t>Monitorear vencimiento</t>
        </is>
      </c>
      <c r="V235" t="inlineStr">
        <is>
          <t>Cliente solicita reenvío de factura</t>
        </is>
      </c>
      <c r="Y235" t="inlineStr">
        <is>
          <t>2026-T3</t>
        </is>
      </c>
      <c r="Z235">
        <f>IF(AND(M234&gt;0,C234&lt;Resumen!$B$3),"Sí","No")</f>
        <v/>
      </c>
      <c r="AA235">
        <f>IF(AND(L234&gt;0,M234&gt;0),"Sí","No")</f>
        <v/>
      </c>
      <c r="AB235">
        <f>IF(J234="USD","Sí","No")</f>
        <v/>
      </c>
    </row>
    <row r="236">
      <c r="A236" t="inlineStr">
        <is>
          <t>FAC-00234</t>
        </is>
      </c>
      <c r="B236" s="33" t="n">
        <v>46204</v>
      </c>
      <c r="C236" s="33" t="n">
        <v>46249</v>
      </c>
      <c r="E236" t="inlineStr">
        <is>
          <t>CL-012</t>
        </is>
      </c>
      <c r="F236" t="inlineStr">
        <is>
          <t>Litoral Soluciones S.R.L.</t>
        </is>
      </c>
      <c r="G236" t="inlineStr">
        <is>
          <t>PyME servicios recurrentes</t>
        </is>
      </c>
      <c r="H236" t="inlineStr">
        <is>
          <t>SRV-001</t>
        </is>
      </c>
      <c r="I236" t="inlineStr">
        <is>
          <t>Abono mensual administrativo</t>
        </is>
      </c>
      <c r="J236" t="inlineStr">
        <is>
          <t>ARS</t>
        </is>
      </c>
      <c r="K236" t="n">
        <v>618000</v>
      </c>
      <c r="L236" t="n">
        <v>0</v>
      </c>
      <c r="M236" t="n">
        <v>0</v>
      </c>
      <c r="N236" t="n">
        <v>1716</v>
      </c>
      <c r="O236" t="n">
        <v>0</v>
      </c>
      <c r="P236" t="n">
        <v>0</v>
      </c>
      <c r="Q236">
        <f>IF(M235&lt;=0,"Cobrada",IF(L235&gt;0,"Parcial",IF(C235&lt;Resumen!$B$3,"Vencida",IF(C235&lt;=Resumen!$B$3+15,"Por vencer","Pendiente"))))</f>
        <v/>
      </c>
      <c r="R236" t="n">
        <v>0</v>
      </c>
      <c r="S236">
        <f>IF(M235&lt;=0,"Sin prioridad",IF(R235&gt;60,"Alta",IF(R235&gt;30,"Media",IF(C235&lt;=Resumen!$B$3+15,"Media","Baja"))))</f>
        <v/>
      </c>
      <c r="T236" t="inlineStr">
        <is>
          <t>Matías</t>
        </is>
      </c>
      <c r="U236" t="inlineStr">
        <is>
          <t>Monitorear vencimiento</t>
        </is>
      </c>
      <c r="V236" t="inlineStr">
        <is>
          <t>En seguimiento administrativo</t>
        </is>
      </c>
      <c r="Y236" t="inlineStr">
        <is>
          <t>2026-T3</t>
        </is>
      </c>
      <c r="Z236">
        <f>IF(AND(M235&gt;0,C235&lt;Resumen!$B$3),"Sí","No")</f>
        <v/>
      </c>
      <c r="AA236">
        <f>IF(AND(L235&gt;0,M235&gt;0),"Sí","No")</f>
        <v/>
      </c>
      <c r="AB236">
        <f>IF(J235="USD","Sí","No")</f>
        <v/>
      </c>
    </row>
    <row r="237">
      <c r="A237" t="inlineStr">
        <is>
          <t>FAC-00235</t>
        </is>
      </c>
      <c r="B237" s="33" t="n">
        <v>46204</v>
      </c>
      <c r="C237" s="33" t="n">
        <v>46219</v>
      </c>
      <c r="E237" t="inlineStr">
        <is>
          <t>CL-017</t>
        </is>
      </c>
      <c r="F237" t="inlineStr">
        <is>
          <t>Punto Sur S.A.</t>
        </is>
      </c>
      <c r="G237" t="inlineStr">
        <is>
          <t>PyME servicios recurrentes</t>
        </is>
      </c>
      <c r="H237" t="inlineStr">
        <is>
          <t>SRV-002</t>
        </is>
      </c>
      <c r="I237" t="inlineStr">
        <is>
          <t>Soporte operativo</t>
        </is>
      </c>
      <c r="J237" t="inlineStr">
        <is>
          <t>ARS</t>
        </is>
      </c>
      <c r="K237" t="n">
        <v>574000</v>
      </c>
      <c r="L237" t="n">
        <v>0</v>
      </c>
      <c r="M237" t="n">
        <v>0</v>
      </c>
      <c r="N237" t="n">
        <v>1716</v>
      </c>
      <c r="O237" t="n">
        <v>0</v>
      </c>
      <c r="P237" t="n">
        <v>0</v>
      </c>
      <c r="Q237">
        <f>IF(M236&lt;=0,"Cobrada",IF(L236&gt;0,"Parcial",IF(C236&lt;Resumen!$B$3,"Vencida",IF(C236&lt;=Resumen!$B$3+15,"Por vencer","Pendiente"))))</f>
        <v/>
      </c>
      <c r="R237" t="n">
        <v>0</v>
      </c>
      <c r="S237">
        <f>IF(M236&lt;=0,"Sin prioridad",IF(R236&gt;60,"Alta",IF(R236&gt;30,"Media",IF(C236&lt;=Resumen!$B$3+15,"Media","Baja"))))</f>
        <v/>
      </c>
      <c r="T237" t="inlineStr">
        <is>
          <t>Sofía</t>
        </is>
      </c>
      <c r="U237" t="inlineStr">
        <is>
          <t>Monitorear vencimiento</t>
        </is>
      </c>
      <c r="V237" t="inlineStr">
        <is>
          <t>En seguimiento administrativo</t>
        </is>
      </c>
      <c r="Y237" t="inlineStr">
        <is>
          <t>2026-T3</t>
        </is>
      </c>
      <c r="Z237">
        <f>IF(AND(M236&gt;0,C236&lt;Resumen!$B$3),"Sí","No")</f>
        <v/>
      </c>
      <c r="AA237">
        <f>IF(AND(L236&gt;0,M236&gt;0),"Sí","No")</f>
        <v/>
      </c>
      <c r="AB237">
        <f>IF(J236="USD","Sí","No")</f>
        <v/>
      </c>
    </row>
    <row r="238">
      <c r="A238" t="inlineStr">
        <is>
          <t>FAC-00236</t>
        </is>
      </c>
      <c r="B238" s="33" t="n">
        <v>46204</v>
      </c>
      <c r="C238" s="33" t="n">
        <v>46219</v>
      </c>
      <c r="E238" t="inlineStr">
        <is>
          <t>CL-015</t>
        </is>
      </c>
      <c r="F238" t="inlineStr">
        <is>
          <t>Órbita Servicios S.A.S.</t>
        </is>
      </c>
      <c r="G238" t="inlineStr">
        <is>
          <t>PyME servicios recurrentes</t>
        </is>
      </c>
      <c r="H238" t="inlineStr">
        <is>
          <t>SRV-004</t>
        </is>
      </c>
      <c r="I238" t="inlineStr">
        <is>
          <t>Reporte mensual / tablero de control</t>
        </is>
      </c>
      <c r="J238" t="inlineStr">
        <is>
          <t>USD</t>
        </is>
      </c>
      <c r="K238" t="n">
        <v>800</v>
      </c>
      <c r="L238" t="n">
        <v>0</v>
      </c>
      <c r="M238" t="n">
        <v>0</v>
      </c>
      <c r="N238" t="n">
        <v>1716</v>
      </c>
      <c r="O238" t="n">
        <v>0</v>
      </c>
      <c r="P238" t="n">
        <v>0</v>
      </c>
      <c r="Q238">
        <f>IF(M237&lt;=0,"Cobrada",IF(L237&gt;0,"Parcial",IF(C237&lt;Resumen!$B$3,"Vencida",IF(C237&lt;=Resumen!$B$3+15,"Por vencer","Pendiente"))))</f>
        <v/>
      </c>
      <c r="R238" t="n">
        <v>0</v>
      </c>
      <c r="S238">
        <f>IF(M237&lt;=0,"Sin prioridad",IF(R237&gt;60,"Alta",IF(R237&gt;30,"Media",IF(C237&lt;=Resumen!$B$3+15,"Media","Baja"))))</f>
        <v/>
      </c>
      <c r="T238" t="inlineStr">
        <is>
          <t>Matías</t>
        </is>
      </c>
      <c r="U238" t="inlineStr">
        <is>
          <t>Monitorear vencimiento</t>
        </is>
      </c>
      <c r="V238" t="inlineStr">
        <is>
          <t>Sin respuesta del cliente</t>
        </is>
      </c>
      <c r="Y238" t="inlineStr">
        <is>
          <t>2026-T3</t>
        </is>
      </c>
      <c r="Z238">
        <f>IF(AND(M237&gt;0,C237&lt;Resumen!$B$3),"Sí","No")</f>
        <v/>
      </c>
      <c r="AA238">
        <f>IF(AND(L237&gt;0,M237&gt;0),"Sí","No")</f>
        <v/>
      </c>
      <c r="AB238">
        <f>IF(J237="USD","Sí","No")</f>
        <v/>
      </c>
    </row>
    <row r="239">
      <c r="A239" t="inlineStr">
        <is>
          <t>FAC-00242</t>
        </is>
      </c>
      <c r="B239" s="33" t="n">
        <v>46206</v>
      </c>
      <c r="C239" s="33" t="n">
        <v>46221</v>
      </c>
      <c r="E239" t="inlineStr">
        <is>
          <t>CL-014</t>
        </is>
      </c>
      <c r="F239">
        <f>IF($A15="","",_xlfn.XLOOKUP($A15,FacturasTable[id_cliente],FacturasTable[cliente],""))</f>
        <v/>
      </c>
      <c r="G239">
        <f>IF($A15="","",_xlfn.XLOOKUP($A15,FacturasTable[id_cliente],FacturasTable[tipo_cliente],""))</f>
        <v/>
      </c>
      <c r="H239" t="inlineStr">
        <is>
          <t>SRV-003</t>
        </is>
      </c>
      <c r="I239">
        <f>IF($A4="","",_xlfn.XLOOKUP($A4,FacturasTable[id_servicio],FacturasTable[tipo_servicio],""))</f>
        <v/>
      </c>
      <c r="J239" t="inlineStr">
        <is>
          <t>USD</t>
        </is>
      </c>
      <c r="K239" t="n">
        <v>2200</v>
      </c>
      <c r="L239" t="n">
        <v>0</v>
      </c>
      <c r="M239" t="n">
        <v>2200</v>
      </c>
      <c r="N239" t="n">
        <v>1751.85</v>
      </c>
      <c r="O239" t="n">
        <v>3854070</v>
      </c>
      <c r="P239" t="n">
        <v>3854070</v>
      </c>
      <c r="Q239" t="inlineStr">
        <is>
          <t>Vencida</t>
        </is>
      </c>
      <c r="R239" t="n">
        <v>1</v>
      </c>
      <c r="S239" t="inlineStr">
        <is>
          <t>Alta</t>
        </is>
      </c>
      <c r="T239">
        <f>IF($A15="","",_xlfn.XLOOKUP($A15,FacturasTable[id_cliente],FacturasTable[responsable],""))</f>
        <v/>
      </c>
      <c r="U239" t="inlineStr">
        <is>
          <t>Escalar seguimiento comercial</t>
        </is>
      </c>
      <c r="V239" t="inlineStr">
        <is>
          <t>Registro simulado sin datos reales</t>
        </is>
      </c>
      <c r="W239" s="33" t="n">
        <v>46204</v>
      </c>
      <c r="X239" s="33" t="n">
        <v>46204</v>
      </c>
      <c r="Y239" t="inlineStr">
        <is>
          <t>2026-T3</t>
        </is>
      </c>
      <c r="Z239" t="inlineStr">
        <is>
          <t>Sí</t>
        </is>
      </c>
      <c r="AA239" t="inlineStr">
        <is>
          <t>No</t>
        </is>
      </c>
      <c r="AB239" t="inlineStr">
        <is>
          <t>Sí</t>
        </is>
      </c>
    </row>
    <row r="240">
      <c r="A240" t="inlineStr">
        <is>
          <t>FAC-00237</t>
        </is>
      </c>
      <c r="B240" s="33" t="n">
        <v>46208</v>
      </c>
      <c r="C240" s="33" t="n">
        <v>46253</v>
      </c>
      <c r="E240" t="inlineStr">
        <is>
          <t>CL-007</t>
        </is>
      </c>
      <c r="F240">
        <f>IF($A8="","",_xlfn.XLOOKUP($A8,FacturasTable[id_cliente],FacturasTable[cliente],""))</f>
        <v/>
      </c>
      <c r="G240">
        <f>IF($A8="","",_xlfn.XLOOKUP($A8,FacturasTable[id_cliente],FacturasTable[tipo_cliente],""))</f>
        <v/>
      </c>
      <c r="H240" t="inlineStr">
        <is>
          <t>SRV-005</t>
        </is>
      </c>
      <c r="I240">
        <f>IF($A6="","",_xlfn.XLOOKUP($A6,FacturasTable[id_servicio],FacturasTable[tipo_servicio],""))</f>
        <v/>
      </c>
      <c r="J240" t="inlineStr">
        <is>
          <t>USD</t>
        </is>
      </c>
      <c r="K240" t="n">
        <v>1800</v>
      </c>
      <c r="L240" t="n">
        <v>0</v>
      </c>
      <c r="M240" t="n">
        <v>1800</v>
      </c>
      <c r="N240" t="n">
        <v>1751.85</v>
      </c>
      <c r="O240" t="n">
        <v>3153330</v>
      </c>
      <c r="P240" t="n">
        <v>3153330</v>
      </c>
      <c r="Q240" t="inlineStr">
        <is>
          <t>Pendiente</t>
        </is>
      </c>
      <c r="R240" t="n">
        <v>0</v>
      </c>
      <c r="S240" t="inlineStr">
        <is>
          <t>Alta</t>
        </is>
      </c>
      <c r="T240">
        <f>IF($A8="","",_xlfn.XLOOKUP($A8,FacturasTable[id_cliente],FacturasTable[responsable],""))</f>
        <v/>
      </c>
      <c r="U240" t="inlineStr">
        <is>
          <t>Escalar seguimiento comercial</t>
        </is>
      </c>
      <c r="V240" t="inlineStr">
        <is>
          <t>Movimiento ficticio agregado por rutina diaria</t>
        </is>
      </c>
      <c r="W240" s="33" t="n">
        <v>46204</v>
      </c>
      <c r="X240" s="33" t="n">
        <v>46235</v>
      </c>
      <c r="Y240" t="inlineStr">
        <is>
          <t>2026-T3</t>
        </is>
      </c>
      <c r="Z240" t="inlineStr">
        <is>
          <t>No</t>
        </is>
      </c>
      <c r="AA240" t="inlineStr">
        <is>
          <t>No</t>
        </is>
      </c>
      <c r="AB240" t="inlineStr">
        <is>
          <t>Sí</t>
        </is>
      </c>
    </row>
    <row r="241">
      <c r="A241" t="inlineStr">
        <is>
          <t>FAC-00240</t>
        </is>
      </c>
      <c r="B241" s="33" t="n">
        <v>46208</v>
      </c>
      <c r="C241" s="33" t="n">
        <v>46238</v>
      </c>
      <c r="D241" s="33" t="n">
        <v>46245</v>
      </c>
      <c r="E241" t="inlineStr">
        <is>
          <t>CL-004</t>
        </is>
      </c>
      <c r="F241">
        <f>IF($A5="","",_xlfn.XLOOKUP($A5,FacturasTable[id_cliente],FacturasTable[cliente],""))</f>
        <v/>
      </c>
      <c r="G241">
        <f>IF($A5="","",_xlfn.XLOOKUP($A5,FacturasTable[id_cliente],FacturasTable[tipo_cliente],""))</f>
        <v/>
      </c>
      <c r="H241" t="inlineStr">
        <is>
          <t>SRV-002</t>
        </is>
      </c>
      <c r="I241">
        <f>IF($A3="","",_xlfn.XLOOKUP($A3,FacturasTable[id_servicio],FacturasTable[tipo_servicio],""))</f>
        <v/>
      </c>
      <c r="J241" t="inlineStr">
        <is>
          <t>ARS</t>
        </is>
      </c>
      <c r="K241" t="n">
        <v>681000</v>
      </c>
      <c r="L241" t="n">
        <v>681000</v>
      </c>
      <c r="M241" t="n">
        <v>0</v>
      </c>
      <c r="N241" t="n">
        <v>1</v>
      </c>
      <c r="O241" t="n">
        <v>681000</v>
      </c>
      <c r="P241" t="n">
        <v>0</v>
      </c>
      <c r="Q241" t="inlineStr">
        <is>
          <t>Cobrada</t>
        </is>
      </c>
      <c r="R241" t="n">
        <v>7</v>
      </c>
      <c r="S241" t="inlineStr">
        <is>
          <t>Sin prioridad</t>
        </is>
      </c>
      <c r="T241">
        <f>IF($A5="","",_xlfn.XLOOKUP($A5,FacturasTable[id_cliente],FacturasTable[responsable],""))</f>
        <v/>
      </c>
      <c r="U241" t="inlineStr">
        <is>
          <t>Sin acción requerida</t>
        </is>
      </c>
      <c r="V241" t="inlineStr">
        <is>
          <t>Factura generada automáticamente para portfolio</t>
        </is>
      </c>
      <c r="W241" s="33" t="n">
        <v>46204</v>
      </c>
      <c r="X241" s="33" t="n">
        <v>46235</v>
      </c>
      <c r="Y241" t="inlineStr">
        <is>
          <t>2026-T3</t>
        </is>
      </c>
      <c r="Z241" t="inlineStr">
        <is>
          <t>No</t>
        </is>
      </c>
      <c r="AA241" t="inlineStr">
        <is>
          <t>No</t>
        </is>
      </c>
      <c r="AB241" t="inlineStr">
        <is>
          <t>No</t>
        </is>
      </c>
    </row>
    <row r="242">
      <c r="A242" t="inlineStr">
        <is>
          <t>FAC-00243</t>
        </is>
      </c>
      <c r="B242" s="33" t="n">
        <v>46208</v>
      </c>
      <c r="C242" s="33" t="n">
        <v>46253</v>
      </c>
      <c r="D242" s="33" t="n">
        <v>46222</v>
      </c>
      <c r="E242" t="inlineStr">
        <is>
          <t>CL-003</t>
        </is>
      </c>
      <c r="F242">
        <f>IF($A4="","",_xlfn.XLOOKUP($A4,FacturasTable[id_cliente],FacturasTable[cliente],""))</f>
        <v/>
      </c>
      <c r="G242">
        <f>IF($A4="","",_xlfn.XLOOKUP($A4,FacturasTable[id_cliente],FacturasTable[tipo_cliente],""))</f>
        <v/>
      </c>
      <c r="H242" t="inlineStr">
        <is>
          <t>SRV-004</t>
        </is>
      </c>
      <c r="I242">
        <f>IF($A5="","",_xlfn.XLOOKUP($A5,FacturasTable[id_servicio],FacturasTable[tipo_servicio],""))</f>
        <v/>
      </c>
      <c r="J242" t="inlineStr">
        <is>
          <t>ARS</t>
        </is>
      </c>
      <c r="K242" t="n">
        <v>592000</v>
      </c>
      <c r="L242" t="n">
        <v>351635.65</v>
      </c>
      <c r="M242" t="n">
        <v>240364.35</v>
      </c>
      <c r="N242" t="n">
        <v>1</v>
      </c>
      <c r="O242" t="n">
        <v>592000</v>
      </c>
      <c r="P242" t="n">
        <v>240364.35</v>
      </c>
      <c r="Q242" t="inlineStr">
        <is>
          <t>Parcial</t>
        </is>
      </c>
      <c r="R242" t="n">
        <v>0</v>
      </c>
      <c r="S242" t="inlineStr">
        <is>
          <t>Media</t>
        </is>
      </c>
      <c r="T242">
        <f>IF($A4="","",_xlfn.XLOOKUP($A4,FacturasTable[id_cliente],FacturasTable[responsable],""))</f>
        <v/>
      </c>
      <c r="U242" t="inlineStr">
        <is>
          <t>Revisar pago parcial</t>
        </is>
      </c>
      <c r="V242" t="inlineStr">
        <is>
          <t>Movimiento ficticio agregado por rutina diaria</t>
        </is>
      </c>
      <c r="W242" s="33" t="n">
        <v>46204</v>
      </c>
      <c r="X242" s="33" t="n">
        <v>46235</v>
      </c>
      <c r="Y242" t="inlineStr">
        <is>
          <t>2026-T3</t>
        </is>
      </c>
      <c r="Z242" t="inlineStr">
        <is>
          <t>No</t>
        </is>
      </c>
      <c r="AA242" t="inlineStr">
        <is>
          <t>Sí</t>
        </is>
      </c>
      <c r="AB242" t="inlineStr">
        <is>
          <t>No</t>
        </is>
      </c>
    </row>
    <row r="243">
      <c r="A243" t="inlineStr">
        <is>
          <t>FAC-00239</t>
        </is>
      </c>
      <c r="B243" s="33" t="n">
        <v>46209</v>
      </c>
      <c r="C243" s="33" t="n">
        <v>46254</v>
      </c>
      <c r="E243" t="inlineStr">
        <is>
          <t>CL-003</t>
        </is>
      </c>
      <c r="F243">
        <f>IF($A4="","",_xlfn.XLOOKUP($A4,FacturasTable[id_cliente],FacturasTable[cliente],""))</f>
        <v/>
      </c>
      <c r="G243">
        <f>IF($A4="","",_xlfn.XLOOKUP($A4,FacturasTable[id_cliente],FacturasTable[tipo_cliente],""))</f>
        <v/>
      </c>
      <c r="H243" t="inlineStr">
        <is>
          <t>SRV-002</t>
        </is>
      </c>
      <c r="I243">
        <f>IF($A3="","",_xlfn.XLOOKUP($A3,FacturasTable[id_servicio],FacturasTable[tipo_servicio],""))</f>
        <v/>
      </c>
      <c r="J243" t="inlineStr">
        <is>
          <t>USD</t>
        </is>
      </c>
      <c r="K243" t="n">
        <v>600</v>
      </c>
      <c r="L243" t="n">
        <v>0</v>
      </c>
      <c r="M243" t="n">
        <v>600</v>
      </c>
      <c r="N243" t="n">
        <v>1751.85</v>
      </c>
      <c r="O243" t="n">
        <v>1051110</v>
      </c>
      <c r="P243" t="n">
        <v>1051110</v>
      </c>
      <c r="Q243" t="inlineStr">
        <is>
          <t>Pendiente</t>
        </is>
      </c>
      <c r="R243" t="n">
        <v>0</v>
      </c>
      <c r="S243" t="inlineStr">
        <is>
          <t>Alta</t>
        </is>
      </c>
      <c r="T243">
        <f>IF($A4="","",_xlfn.XLOOKUP($A4,FacturasTable[id_cliente],FacturasTable[responsable],""))</f>
        <v/>
      </c>
      <c r="U243" t="inlineStr">
        <is>
          <t>Escalar seguimiento comercial</t>
        </is>
      </c>
      <c r="V243" t="inlineStr">
        <is>
          <t>Registro simulado sin datos reales</t>
        </is>
      </c>
      <c r="W243" s="33" t="n">
        <v>46204</v>
      </c>
      <c r="X243" s="33" t="n">
        <v>46235</v>
      </c>
      <c r="Y243" t="inlineStr">
        <is>
          <t>2026-T3</t>
        </is>
      </c>
      <c r="Z243" t="inlineStr">
        <is>
          <t>No</t>
        </is>
      </c>
      <c r="AA243" t="inlineStr">
        <is>
          <t>No</t>
        </is>
      </c>
      <c r="AB243" t="inlineStr">
        <is>
          <t>Sí</t>
        </is>
      </c>
    </row>
    <row r="244">
      <c r="A244" t="inlineStr">
        <is>
          <t>FAC-00244</t>
        </is>
      </c>
      <c r="B244" s="33" t="n">
        <v>46218</v>
      </c>
      <c r="C244" s="33" t="n">
        <v>46248</v>
      </c>
      <c r="E244" t="inlineStr">
        <is>
          <t>CL-013</t>
        </is>
      </c>
      <c r="F244">
        <f>IF($A14="","",_xlfn.XLOOKUP($A14,FacturasTable[id_cliente],FacturasTable[cliente],""))</f>
        <v/>
      </c>
      <c r="G244">
        <f>IF($A14="","",_xlfn.XLOOKUP($A14,FacturasTable[id_cliente],FacturasTable[tipo_cliente],""))</f>
        <v/>
      </c>
      <c r="H244" t="inlineStr">
        <is>
          <t>SRV-003</t>
        </is>
      </c>
      <c r="I244">
        <f>IF($A4="","",_xlfn.XLOOKUP($A4,FacturasTable[id_servicio],FacturasTable[tipo_servicio],""))</f>
        <v/>
      </c>
      <c r="J244" t="inlineStr">
        <is>
          <t>USD</t>
        </is>
      </c>
      <c r="K244" t="n">
        <v>2000</v>
      </c>
      <c r="L244" t="n">
        <v>0</v>
      </c>
      <c r="M244" t="n">
        <v>2000</v>
      </c>
      <c r="N244" t="n">
        <v>1751.85</v>
      </c>
      <c r="O244" t="n">
        <v>3503700</v>
      </c>
      <c r="P244" t="n">
        <v>3503700</v>
      </c>
      <c r="Q244" t="inlineStr">
        <is>
          <t>Pendiente</t>
        </is>
      </c>
      <c r="R244" t="n">
        <v>0</v>
      </c>
      <c r="S244" t="inlineStr">
        <is>
          <t>Alta</t>
        </is>
      </c>
      <c r="T244">
        <f>IF($A14="","",_xlfn.XLOOKUP($A14,FacturasTable[id_cliente],FacturasTable[responsable],""))</f>
        <v/>
      </c>
      <c r="U244" t="inlineStr">
        <is>
          <t>Escalar seguimiento comercial</t>
        </is>
      </c>
      <c r="V244" t="inlineStr">
        <is>
          <t>Caso demo para seguimiento de cobranzas</t>
        </is>
      </c>
      <c r="W244" s="33" t="n">
        <v>46204</v>
      </c>
      <c r="X244" s="33" t="n">
        <v>46235</v>
      </c>
      <c r="Y244" t="inlineStr">
        <is>
          <t>2026-T3</t>
        </is>
      </c>
      <c r="Z244" t="inlineStr">
        <is>
          <t>No</t>
        </is>
      </c>
      <c r="AA244" t="inlineStr">
        <is>
          <t>No</t>
        </is>
      </c>
      <c r="AB244" t="inlineStr">
        <is>
          <t>Sí</t>
        </is>
      </c>
    </row>
    <row r="245">
      <c r="A245" t="inlineStr">
        <is>
          <t>FAC-00241</t>
        </is>
      </c>
      <c r="B245" s="33" t="n">
        <v>46219</v>
      </c>
      <c r="C245" s="33" t="n">
        <v>46249</v>
      </c>
      <c r="D245" s="33" t="n">
        <v>46247</v>
      </c>
      <c r="E245" t="inlineStr">
        <is>
          <t>CL-013</t>
        </is>
      </c>
      <c r="F245">
        <f>IF($A14="","",_xlfn.XLOOKUP($A14,FacturasTable[id_cliente],FacturasTable[cliente],""))</f>
        <v/>
      </c>
      <c r="G245">
        <f>IF($A14="","",_xlfn.XLOOKUP($A14,FacturasTable[id_cliente],FacturasTable[tipo_cliente],""))</f>
        <v/>
      </c>
      <c r="H245" t="inlineStr">
        <is>
          <t>SRV-003</t>
        </is>
      </c>
      <c r="I245">
        <f>IF($A4="","",_xlfn.XLOOKUP($A4,FacturasTable[id_servicio],FacturasTable[tipo_servicio],""))</f>
        <v/>
      </c>
      <c r="J245" t="inlineStr">
        <is>
          <t>ARS</t>
        </is>
      </c>
      <c r="K245" t="n">
        <v>1187000</v>
      </c>
      <c r="L245" t="n">
        <v>1187000</v>
      </c>
      <c r="M245" t="n">
        <v>0</v>
      </c>
      <c r="N245" t="n">
        <v>1</v>
      </c>
      <c r="O245" t="n">
        <v>1187000</v>
      </c>
      <c r="P245" t="n">
        <v>0</v>
      </c>
      <c r="Q245" t="inlineStr">
        <is>
          <t>Cobrada</t>
        </is>
      </c>
      <c r="R245" t="n">
        <v>0</v>
      </c>
      <c r="S245" t="inlineStr">
        <is>
          <t>Sin prioridad</t>
        </is>
      </c>
      <c r="T245">
        <f>IF($A14="","",_xlfn.XLOOKUP($A14,FacturasTable[id_cliente],FacturasTable[responsable],""))</f>
        <v/>
      </c>
      <c r="U245" t="inlineStr">
        <is>
          <t>Sin acción requerida</t>
        </is>
      </c>
      <c r="V245" t="inlineStr">
        <is>
          <t>Registro simulado sin datos reales</t>
        </is>
      </c>
      <c r="W245" s="33" t="n">
        <v>46204</v>
      </c>
      <c r="X245" s="33" t="n">
        <v>46235</v>
      </c>
      <c r="Y245" t="inlineStr">
        <is>
          <t>2026-T3</t>
        </is>
      </c>
      <c r="Z245" t="inlineStr">
        <is>
          <t>No</t>
        </is>
      </c>
      <c r="AA245" t="inlineStr">
        <is>
          <t>No</t>
        </is>
      </c>
      <c r="AB245" t="inlineStr">
        <is>
          <t>No</t>
        </is>
      </c>
    </row>
  </sheetData>
  <autoFilter ref="A1:AB245"/>
  <conditionalFormatting sqref="Q2:Q237">
    <cfRule type="expression" priority="1" dxfId="5">
      <formula>$Q2="Vencida"</formula>
    </cfRule>
    <cfRule type="expression" priority="2" dxfId="4">
      <formula>$Q2="Cobrada"</formula>
    </cfRule>
  </conditionalFormatting>
  <conditionalFormatting sqref="S2:S237">
    <cfRule type="expression" priority="3" dxfId="3">
      <formula>$S2="Alta"</formula>
    </cfRule>
    <cfRule type="expression" priority="4" dxfId="2">
      <formula>$S2="Media"</formula>
    </cfRule>
  </conditionalFormatting>
  <dataValidations count="2">
    <dataValidation sqref="J2:J237" showDropDown="0" showInputMessage="0" showErrorMessage="0" allowBlank="0" type="list">
      <formula1>"ARS,USD"</formula1>
    </dataValidation>
    <dataValidation sqref="U2:U237" showDropDown="0" showInputMessage="0" showErrorMessage="0" allowBlank="0" type="list">
      <formula1>"Sin acción,Monitorear vencimiento,Reclamar saldo parcial,Enviar recordatorio,Llamar al cliente,Reenviar factura,Escalar gestión"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C14" sqref="C14"/>
    </sheetView>
  </sheetViews>
  <sheetFormatPr baseColWidth="10" defaultColWidth="9" defaultRowHeight="13.5"/>
  <cols>
    <col width="9.5" bestFit="1" customWidth="1" style="29" min="1" max="1"/>
    <col width="24.5" bestFit="1" customWidth="1" style="29" min="2" max="2"/>
    <col width="23.5" bestFit="1" customWidth="1" style="29" min="3" max="3"/>
    <col width="10.75" customWidth="1" style="29" min="4" max="4"/>
    <col width="11.625" bestFit="1" customWidth="1" style="29" min="5" max="5"/>
    <col width="11.875" bestFit="1" customWidth="1" style="29" min="6" max="6"/>
    <col width="34.375" bestFit="1" customWidth="1" style="29" min="8" max="8"/>
    <col width="23.5" bestFit="1" customWidth="1" style="29" min="9" max="9"/>
  </cols>
  <sheetData>
    <row r="1" ht="30" customHeight="1" s="29">
      <c r="A1" s="16" t="inlineStr">
        <is>
          <t>id_cliente</t>
        </is>
      </c>
      <c r="B1" s="17" t="inlineStr">
        <is>
          <t>cliente</t>
        </is>
      </c>
      <c r="C1" s="17" t="inlineStr">
        <is>
          <t>tipo_cliente</t>
        </is>
      </c>
      <c r="D1" s="21" t="inlineStr">
        <is>
          <t>condicion_pago_dias</t>
        </is>
      </c>
      <c r="E1" s="17" t="inlineStr">
        <is>
          <t>perfil_pago</t>
        </is>
      </c>
      <c r="F1" s="18" t="inlineStr">
        <is>
          <t>responsable</t>
        </is>
      </c>
      <c r="H1" s="30" t="inlineStr">
        <is>
          <t>Selector y resumen por cliente</t>
        </is>
      </c>
    </row>
    <row r="2">
      <c r="A2">
        <f t="array" ref="A2:A25">_xlfn._xlws.SORT(_xlfn.UNIQUE(FacturasTable[id_cliente]))</f>
        <v/>
      </c>
      <c r="B2">
        <f>IF($A2="","",_xlfn.XLOOKUP($A2,FacturasTable[id_cliente],FacturasTable[cliente],""))</f>
        <v/>
      </c>
      <c r="C2">
        <f>IF($A2="","",_xlfn.XLOOKUP($A2,FacturasTable[id_cliente],FacturasTable[tipo_cliente],""))</f>
        <v/>
      </c>
      <c r="D2" s="19">
        <f>IF($A2="","",_xlfn.XLOOKUP($A2,FacturasTable[id_cliente],FacturasTable[fecha_vencimiento],"")-_xlfn.XLOOKUP($A2,FacturasTable[id_cliente],FacturasTable[fecha_emision],""))</f>
        <v/>
      </c>
      <c r="E2">
        <f>IF($A2="","",IF(AVERAGEIFS(FacturasTable[dias_atraso],FacturasTable[id_cliente],$A2,FacturasTable[dias_atraso],"&gt;0")&gt;30,"Atraso medio",IF(AVERAGEIFS(FacturasTable[dias_atraso],FacturasTable[id_cliente],$A2,FacturasTable[dias_atraso],"&gt;0")&gt;0,"Atraso leve","Paga en término")))</f>
        <v/>
      </c>
      <c r="F2">
        <f>IF($A2="","",_xlfn.XLOOKUP($A2,FacturasTable[id_cliente],FacturasTable[responsable],""))</f>
        <v/>
      </c>
    </row>
    <row r="3" ht="13.9" customHeight="1" s="29">
      <c r="A3" t="inlineStr">
        <is>
          <t>CL-002</t>
        </is>
      </c>
      <c r="B3">
        <f>IF($A3="","",_xlfn.XLOOKUP($A3,FacturasTable[id_cliente],FacturasTable[cliente],""))</f>
        <v/>
      </c>
      <c r="C3">
        <f>IF($A3="","",_xlfn.XLOOKUP($A3,FacturasTable[id_cliente],FacturasTable[tipo_cliente],""))</f>
        <v/>
      </c>
      <c r="D3" s="19">
        <f>IF($A3="","",_xlfn.XLOOKUP($A3,FacturasTable[id_cliente],FacturasTable[fecha_vencimiento],"")-_xlfn.XLOOKUP($A3,FacturasTable[id_cliente],FacturasTable[fecha_emision],""))</f>
        <v/>
      </c>
      <c r="E3">
        <f>IF($A3="","",IF(AVERAGEIFS(FacturasTable[dias_atraso],FacturasTable[id_cliente],$A3,FacturasTable[dias_atraso],"&gt;0")&gt;30,"Atraso medio",IF(AVERAGEIFS(FacturasTable[dias_atraso],FacturasTable[id_cliente],$A3,FacturasTable[dias_atraso],"&gt;0")&gt;0,"Atraso leve","Paga en término")))</f>
        <v/>
      </c>
      <c r="F3">
        <f>IF($A3="","",_xlfn.XLOOKUP($A3,FacturasTable[id_cliente],FacturasTable[responsable],""))</f>
        <v/>
      </c>
      <c r="H3" s="12" t="inlineStr">
        <is>
          <t>Elegir cliente</t>
        </is>
      </c>
      <c r="I3" s="13" t="inlineStr">
        <is>
          <t>Punto Sur S.A.</t>
        </is>
      </c>
    </row>
    <row r="4">
      <c r="A4" t="inlineStr">
        <is>
          <t>CL-003</t>
        </is>
      </c>
      <c r="B4">
        <f>IF($A4="","",_xlfn.XLOOKUP($A4,FacturasTable[id_cliente],FacturasTable[cliente],""))</f>
        <v/>
      </c>
      <c r="C4">
        <f>IF($A4="","",_xlfn.XLOOKUP($A4,FacturasTable[id_cliente],FacturasTable[tipo_cliente],""))</f>
        <v/>
      </c>
      <c r="D4" s="19">
        <f>IF($A4="","",_xlfn.XLOOKUP($A4,FacturasTable[id_cliente],FacturasTable[fecha_vencimiento],"")-_xlfn.XLOOKUP($A4,FacturasTable[id_cliente],FacturasTable[fecha_emision],""))</f>
        <v/>
      </c>
      <c r="E4">
        <f>IF($A4="","",IF(AVERAGEIFS(FacturasTable[dias_atraso],FacturasTable[id_cliente],$A4,FacturasTable[dias_atraso],"&gt;0")&gt;30,"Atraso medio",IF(AVERAGEIFS(FacturasTable[dias_atraso],FacturasTable[id_cliente],$A4,FacturasTable[dias_atraso],"&gt;0")&gt;0,"Atraso leve","Paga en término")))</f>
        <v/>
      </c>
      <c r="F4">
        <f>IF($A4="","",_xlfn.XLOOKUP($A4,FacturasTable[id_cliente],FacturasTable[responsable],""))</f>
        <v/>
      </c>
    </row>
    <row r="5" ht="13.9" customHeight="1" s="29">
      <c r="A5" t="inlineStr">
        <is>
          <t>CL-004</t>
        </is>
      </c>
      <c r="B5">
        <f>IF($A5="","",_xlfn.XLOOKUP($A5,FacturasTable[id_cliente],FacturasTable[cliente],""))</f>
        <v/>
      </c>
      <c r="C5">
        <f>IF($A5="","",_xlfn.XLOOKUP($A5,FacturasTable[id_cliente],FacturasTable[tipo_cliente],""))</f>
        <v/>
      </c>
      <c r="D5" s="19">
        <f>IF($A5="","",_xlfn.XLOOKUP($A5,FacturasTable[id_cliente],FacturasTable[fecha_vencimiento],"")-_xlfn.XLOOKUP($A5,FacturasTable[id_cliente],FacturasTable[fecha_emision],""))</f>
        <v/>
      </c>
      <c r="E5">
        <f>IF($A5="","",IF(AVERAGEIFS(FacturasTable[dias_atraso],FacturasTable[id_cliente],$A5,FacturasTable[dias_atraso],"&gt;0")&gt;30,"Atraso medio",IF(AVERAGEIFS(FacturasTable[dias_atraso],FacturasTable[id_cliente],$A5,FacturasTable[dias_atraso],"&gt;0")&gt;0,"Atraso leve","Paga en término")))</f>
        <v/>
      </c>
      <c r="F5">
        <f>IF($A5="","",_xlfn.XLOOKUP($A5,FacturasTable[id_cliente],FacturasTable[responsable],""))</f>
        <v/>
      </c>
      <c r="H5" s="14" t="inlineStr">
        <is>
          <t>id_cliente</t>
        </is>
      </c>
      <c r="I5">
        <f>IFERROR(_xlfn.XLOOKUP($I$3,$B$2:$B$999,$A$2:$A$999,""),"")</f>
        <v/>
      </c>
    </row>
    <row r="6" ht="13.9" customHeight="1" s="29">
      <c r="A6" t="inlineStr">
        <is>
          <t>CL-005</t>
        </is>
      </c>
      <c r="B6">
        <f>IF($A6="","",_xlfn.XLOOKUP($A6,FacturasTable[id_cliente],FacturasTable[cliente],""))</f>
        <v/>
      </c>
      <c r="C6">
        <f>IF($A6="","",_xlfn.XLOOKUP($A6,FacturasTable[id_cliente],FacturasTable[tipo_cliente],""))</f>
        <v/>
      </c>
      <c r="D6" s="19">
        <f>IF($A6="","",_xlfn.XLOOKUP($A6,FacturasTable[id_cliente],FacturasTable[fecha_vencimiento],"")-_xlfn.XLOOKUP($A6,FacturasTable[id_cliente],FacturasTable[fecha_emision],""))</f>
        <v/>
      </c>
      <c r="E6">
        <f>IF($A6="","",IF(AVERAGEIFS(FacturasTable[dias_atraso],FacturasTable[id_cliente],$A6,FacturasTable[dias_atraso],"&gt;0")&gt;30,"Atraso medio",IF(AVERAGEIFS(FacturasTable[dias_atraso],FacturasTable[id_cliente],$A6,FacturasTable[dias_atraso],"&gt;0")&gt;0,"Atraso leve","Paga en término")))</f>
        <v/>
      </c>
      <c r="F6">
        <f>IF($A6="","",_xlfn.XLOOKUP($A6,FacturasTable[id_cliente],FacturasTable[responsable],""))</f>
        <v/>
      </c>
      <c r="H6" s="14" t="inlineStr">
        <is>
          <t>tipo_cliente</t>
        </is>
      </c>
      <c r="I6">
        <f>IF($I$5="","",_xlfn.XLOOKUP($I$5,$A$2:$A$999,$C$2:$C$999,""))</f>
        <v/>
      </c>
    </row>
    <row r="7" ht="13.9" customHeight="1" s="29">
      <c r="A7" t="inlineStr">
        <is>
          <t>CL-006</t>
        </is>
      </c>
      <c r="B7">
        <f>IF($A7="","",_xlfn.XLOOKUP($A7,FacturasTable[id_cliente],FacturasTable[cliente],""))</f>
        <v/>
      </c>
      <c r="C7">
        <f>IF($A7="","",_xlfn.XLOOKUP($A7,FacturasTable[id_cliente],FacturasTable[tipo_cliente],""))</f>
        <v/>
      </c>
      <c r="D7" s="19">
        <f>IF($A7="","",_xlfn.XLOOKUP($A7,FacturasTable[id_cliente],FacturasTable[fecha_vencimiento],"")-_xlfn.XLOOKUP($A7,FacturasTable[id_cliente],FacturasTable[fecha_emision],""))</f>
        <v/>
      </c>
      <c r="E7">
        <f>IF($A7="","",IF(AVERAGEIFS(FacturasTable[dias_atraso],FacturasTable[id_cliente],$A7,FacturasTable[dias_atraso],"&gt;0")&gt;30,"Atraso medio",IF(AVERAGEIFS(FacturasTable[dias_atraso],FacturasTable[id_cliente],$A7,FacturasTable[dias_atraso],"&gt;0")&gt;0,"Atraso leve","Paga en término")))</f>
        <v/>
      </c>
      <c r="F7">
        <f>IF($A7="","",_xlfn.XLOOKUP($A7,FacturasTable[id_cliente],FacturasTable[responsable],""))</f>
        <v/>
      </c>
      <c r="H7" s="14" t="inlineStr">
        <is>
          <t>responsable</t>
        </is>
      </c>
      <c r="I7">
        <f>IF($I$5="","",_xlfn.XLOOKUP($I$5,$A$2:$A$999,$F$2:$F$999,""))</f>
        <v/>
      </c>
    </row>
    <row r="8" ht="13.9" customHeight="1" s="29">
      <c r="A8" t="inlineStr">
        <is>
          <t>CL-007</t>
        </is>
      </c>
      <c r="B8">
        <f>IF($A8="","",_xlfn.XLOOKUP($A8,FacturasTable[id_cliente],FacturasTable[cliente],""))</f>
        <v/>
      </c>
      <c r="C8">
        <f>IF($A8="","",_xlfn.XLOOKUP($A8,FacturasTable[id_cliente],FacturasTable[tipo_cliente],""))</f>
        <v/>
      </c>
      <c r="D8" s="19">
        <f>IF($A8="","",_xlfn.XLOOKUP($A8,FacturasTable[id_cliente],FacturasTable[fecha_vencimiento],"")-_xlfn.XLOOKUP($A8,FacturasTable[id_cliente],FacturasTable[fecha_emision],""))</f>
        <v/>
      </c>
      <c r="E8">
        <f>IF($A8="","",IF(AVERAGEIFS(FacturasTable[dias_atraso],FacturasTable[id_cliente],$A8,FacturasTable[dias_atraso],"&gt;0")&gt;30,"Atraso medio",IF(AVERAGEIFS(FacturasTable[dias_atraso],FacturasTable[id_cliente],$A8,FacturasTable[dias_atraso],"&gt;0")&gt;0,"Atraso leve","Paga en término")))</f>
        <v/>
      </c>
      <c r="F8">
        <f>IF($A8="","",_xlfn.XLOOKUP($A8,FacturasTable[id_cliente],FacturasTable[responsable],""))</f>
        <v/>
      </c>
      <c r="H8" s="14" t="inlineStr">
        <is>
          <t>condición_pago_días</t>
        </is>
      </c>
      <c r="I8">
        <f>IF($I$5="","",_xlfn.XLOOKUP($I$5,$A$2:$A$999,$D$2:$D$999,""))</f>
        <v/>
      </c>
    </row>
    <row r="9" ht="13.9" customHeight="1" s="29">
      <c r="A9" t="inlineStr">
        <is>
          <t>CL-008</t>
        </is>
      </c>
      <c r="B9">
        <f>IF($A9="","",_xlfn.XLOOKUP($A9,FacturasTable[id_cliente],FacturasTable[cliente],""))</f>
        <v/>
      </c>
      <c r="C9">
        <f>IF($A9="","",_xlfn.XLOOKUP($A9,FacturasTable[id_cliente],FacturasTable[tipo_cliente],""))</f>
        <v/>
      </c>
      <c r="D9" s="19">
        <f>IF($A9="","",_xlfn.XLOOKUP($A9,FacturasTable[id_cliente],FacturasTable[fecha_vencimiento],"")-_xlfn.XLOOKUP($A9,FacturasTable[id_cliente],FacturasTable[fecha_emision],""))</f>
        <v/>
      </c>
      <c r="E9">
        <f>IF($A9="","",IF(AVERAGEIFS(FacturasTable[dias_atraso],FacturasTable[id_cliente],$A9,FacturasTable[dias_atraso],"&gt;0")&gt;30,"Atraso medio",IF(AVERAGEIFS(FacturasTable[dias_atraso],FacturasTable[id_cliente],$A9,FacturasTable[dias_atraso],"&gt;0")&gt;0,"Atraso leve","Paga en término")))</f>
        <v/>
      </c>
      <c r="F9">
        <f>IF($A9="","",_xlfn.XLOOKUP($A9,FacturasTable[id_cliente],FacturasTable[responsable],""))</f>
        <v/>
      </c>
      <c r="H9" s="14" t="n"/>
    </row>
    <row r="10" ht="13.9" customHeight="1" s="29">
      <c r="A10" t="inlineStr">
        <is>
          <t>CL-009</t>
        </is>
      </c>
      <c r="B10">
        <f>IF($A10="","",_xlfn.XLOOKUP($A10,FacturasTable[id_cliente],FacturasTable[cliente],""))</f>
        <v/>
      </c>
      <c r="C10">
        <f>IF($A10="","",_xlfn.XLOOKUP($A10,FacturasTable[id_cliente],FacturasTable[tipo_cliente],""))</f>
        <v/>
      </c>
      <c r="D10" s="19">
        <f>IF($A10="","",_xlfn.XLOOKUP($A10,FacturasTable[id_cliente],FacturasTable[fecha_vencimiento],"")-_xlfn.XLOOKUP($A10,FacturasTable[id_cliente],FacturasTable[fecha_emision],""))</f>
        <v/>
      </c>
      <c r="E10">
        <f>IF($A10="","",IF(AVERAGEIFS(FacturasTable[dias_atraso],FacturasTable[id_cliente],$A10,FacturasTable[dias_atraso],"&gt;0")&gt;30,"Atraso medio",IF(AVERAGEIFS(FacturasTable[dias_atraso],FacturasTable[id_cliente],$A10,FacturasTable[dias_atraso],"&gt;0")&gt;0,"Atraso leve","Paga en término")))</f>
        <v/>
      </c>
      <c r="F10">
        <f>IF($A10="","",_xlfn.XLOOKUP($A10,FacturasTable[id_cliente],FacturasTable[responsable],""))</f>
        <v/>
      </c>
      <c r="H10" s="14" t="inlineStr">
        <is>
          <t>total_facturado_eq_ars</t>
        </is>
      </c>
      <c r="I10" s="15">
        <f>IF($I$5="","",SUMIFS(FacturasTable[importe_equivalente_ars],FacturasTable[id_cliente],$I$5))</f>
        <v/>
      </c>
    </row>
    <row r="11" ht="13.9" customHeight="1" s="29">
      <c r="A11" t="inlineStr">
        <is>
          <t>CL-010</t>
        </is>
      </c>
      <c r="B11">
        <f>IF($A11="","",_xlfn.XLOOKUP($A11,FacturasTable[id_cliente],FacturasTable[cliente],""))</f>
        <v/>
      </c>
      <c r="C11">
        <f>IF($A11="","",_xlfn.XLOOKUP($A11,FacturasTable[id_cliente],FacturasTable[tipo_cliente],""))</f>
        <v/>
      </c>
      <c r="D11" s="19">
        <f>IF($A11="","",_xlfn.XLOOKUP($A11,FacturasTable[id_cliente],FacturasTable[fecha_vencimiento],"")-_xlfn.XLOOKUP($A11,FacturasTable[id_cliente],FacturasTable[fecha_emision],""))</f>
        <v/>
      </c>
      <c r="E11">
        <f>IF($A11="","",IF(AVERAGEIFS(FacturasTable[dias_atraso],FacturasTable[id_cliente],$A11,FacturasTable[dias_atraso],"&gt;0")&gt;30,"Atraso medio",IF(AVERAGEIFS(FacturasTable[dias_atraso],FacturasTable[id_cliente],$A11,FacturasTable[dias_atraso],"&gt;0")&gt;0,"Atraso leve","Paga en término")))</f>
        <v/>
      </c>
      <c r="F11">
        <f>IF($A11="","",_xlfn.XLOOKUP($A11,FacturasTable[id_cliente],FacturasTable[responsable],""))</f>
        <v/>
      </c>
      <c r="H11" s="14" t="inlineStr">
        <is>
          <t>total_cobrado_eq_ars</t>
        </is>
      </c>
      <c r="I11" s="15">
        <f>IF($I$5="","",$I$10-$I$12)</f>
        <v/>
      </c>
    </row>
    <row r="12" ht="13.9" customHeight="1" s="29">
      <c r="A12" t="inlineStr">
        <is>
          <t>CL-011</t>
        </is>
      </c>
      <c r="B12">
        <f>IF($A12="","",_xlfn.XLOOKUP($A12,FacturasTable[id_cliente],FacturasTable[cliente],""))</f>
        <v/>
      </c>
      <c r="C12">
        <f>IF($A12="","",_xlfn.XLOOKUP($A12,FacturasTable[id_cliente],FacturasTable[tipo_cliente],""))</f>
        <v/>
      </c>
      <c r="D12" s="19">
        <f>IF($A12="","",_xlfn.XLOOKUP($A12,FacturasTable[id_cliente],FacturasTable[fecha_vencimiento],"")-_xlfn.XLOOKUP($A12,FacturasTable[id_cliente],FacturasTable[fecha_emision],""))</f>
        <v/>
      </c>
      <c r="E12">
        <f>IF($A12="","",IF(AVERAGEIFS(FacturasTable[dias_atraso],FacturasTable[id_cliente],$A12,FacturasTable[dias_atraso],"&gt;0")&gt;30,"Atraso medio",IF(AVERAGEIFS(FacturasTable[dias_atraso],FacturasTable[id_cliente],$A12,FacturasTable[dias_atraso],"&gt;0")&gt;0,"Atraso leve","Paga en término")))</f>
        <v/>
      </c>
      <c r="F12">
        <f>IF($A12="","",_xlfn.XLOOKUP($A12,FacturasTable[id_cliente],FacturasTable[responsable],""))</f>
        <v/>
      </c>
      <c r="H12" s="14" t="inlineStr">
        <is>
          <t>saldo_pendiente_eq_ars</t>
        </is>
      </c>
      <c r="I12" s="15">
        <f>IF($I$5="","",SUMIFS(FacturasTable[saldo_equivalente_ars],FacturasTable[id_cliente],$I$5))</f>
        <v/>
      </c>
    </row>
    <row r="13" ht="13.9" customHeight="1" s="29">
      <c r="A13" t="inlineStr">
        <is>
          <t>CL-012</t>
        </is>
      </c>
      <c r="B13">
        <f>IF($A13="","",_xlfn.XLOOKUP($A13,FacturasTable[id_cliente],FacturasTable[cliente],""))</f>
        <v/>
      </c>
      <c r="C13">
        <f>IF($A13="","",_xlfn.XLOOKUP($A13,FacturasTable[id_cliente],FacturasTable[tipo_cliente],""))</f>
        <v/>
      </c>
      <c r="D13" s="19">
        <f>IF($A13="","",_xlfn.XLOOKUP($A13,FacturasTable[id_cliente],FacturasTable[fecha_vencimiento],"")-_xlfn.XLOOKUP($A13,FacturasTable[id_cliente],FacturasTable[fecha_emision],""))</f>
        <v/>
      </c>
      <c r="E13">
        <f>IF($A13="","",IF(AVERAGEIFS(FacturasTable[dias_atraso],FacturasTable[id_cliente],$A13,FacturasTable[dias_atraso],"&gt;0")&gt;30,"Atraso medio",IF(AVERAGEIFS(FacturasTable[dias_atraso],FacturasTable[id_cliente],$A13,FacturasTable[dias_atraso],"&gt;0")&gt;0,"Atraso leve","Paga en término")))</f>
        <v/>
      </c>
      <c r="F13">
        <f>IF($A13="","",_xlfn.XLOOKUP($A13,FacturasTable[id_cliente],FacturasTable[responsable],""))</f>
        <v/>
      </c>
      <c r="H13" s="14" t="inlineStr">
        <is>
          <t>saldo_pendiente_usd</t>
        </is>
      </c>
      <c r="I13" s="15">
        <f>IF($I$5="","",SUMIFS(FacturasTable[saldo_pendiente],FacturasTable[id_cliente],$I$5,FacturasTable[moneda],"USD"))</f>
        <v/>
      </c>
    </row>
    <row r="14" ht="13.9" customHeight="1" s="29">
      <c r="A14" t="inlineStr">
        <is>
          <t>CL-013</t>
        </is>
      </c>
      <c r="B14">
        <f>IF($A14="","",_xlfn.XLOOKUP($A14,FacturasTable[id_cliente],FacturasTable[cliente],""))</f>
        <v/>
      </c>
      <c r="C14">
        <f>IF($A14="","",_xlfn.XLOOKUP($A14,FacturasTable[id_cliente],FacturasTable[tipo_cliente],""))</f>
        <v/>
      </c>
      <c r="D14" s="19">
        <f>IF($A14="","",_xlfn.XLOOKUP($A14,FacturasTable[id_cliente],FacturasTable[fecha_vencimiento],"")-_xlfn.XLOOKUP($A14,FacturasTable[id_cliente],FacturasTable[fecha_emision],""))</f>
        <v/>
      </c>
      <c r="E14">
        <f>IF($A14="","",IF(AVERAGEIFS(FacturasTable[dias_atraso],FacturasTable[id_cliente],$A14,FacturasTable[dias_atraso],"&gt;0")&gt;30,"Atraso medio",IF(AVERAGEIFS(FacturasTable[dias_atraso],FacturasTable[id_cliente],$A14,FacturasTable[dias_atraso],"&gt;0")&gt;0,"Atraso leve","Paga en término")))</f>
        <v/>
      </c>
      <c r="F14">
        <f>IF($A14="","",_xlfn.XLOOKUP($A14,FacturasTable[id_cliente],FacturasTable[responsable],""))</f>
        <v/>
      </c>
      <c r="H14" s="14" t="inlineStr">
        <is>
          <t>facturas_abiertas</t>
        </is>
      </c>
      <c r="I14" s="5">
        <f>IF($I$5="","",COUNTIFS(FacturasTable[id_cliente],$I$5,FacturasTable[saldo_pendiente],"&gt;0"))</f>
        <v/>
      </c>
    </row>
    <row r="15" ht="13.9" customHeight="1" s="29">
      <c r="A15" t="inlineStr">
        <is>
          <t>CL-014</t>
        </is>
      </c>
      <c r="B15">
        <f>IF($A15="","",_xlfn.XLOOKUP($A15,FacturasTable[id_cliente],FacturasTable[cliente],""))</f>
        <v/>
      </c>
      <c r="C15">
        <f>IF($A15="","",_xlfn.XLOOKUP($A15,FacturasTable[id_cliente],FacturasTable[tipo_cliente],""))</f>
        <v/>
      </c>
      <c r="D15" s="19">
        <f>IF($A15="","",_xlfn.XLOOKUP($A15,FacturasTable[id_cliente],FacturasTable[fecha_vencimiento],"")-_xlfn.XLOOKUP($A15,FacturasTable[id_cliente],FacturasTable[fecha_emision],""))</f>
        <v/>
      </c>
      <c r="E15">
        <f>IF($A15="","",IF(AVERAGEIFS(FacturasTable[dias_atraso],FacturasTable[id_cliente],$A15,FacturasTable[dias_atraso],"&gt;0")&gt;30,"Atraso medio",IF(AVERAGEIFS(FacturasTable[dias_atraso],FacturasTable[id_cliente],$A15,FacturasTable[dias_atraso],"&gt;0")&gt;0,"Atraso leve","Paga en término")))</f>
        <v/>
      </c>
      <c r="F15">
        <f>IF($A15="","",_xlfn.XLOOKUP($A15,FacturasTable[id_cliente],FacturasTable[responsable],""))</f>
        <v/>
      </c>
      <c r="H15" s="14" t="inlineStr">
        <is>
          <t>facturas_vencidas</t>
        </is>
      </c>
      <c r="I15" s="5">
        <f>IF($I$5="","",COUNTIFS(FacturasTable[id_cliente],$I$5,FacturasTable[vencida_si_no],"Sí"))</f>
        <v/>
      </c>
    </row>
    <row r="16" ht="13.9" customHeight="1" s="29">
      <c r="A16" t="inlineStr">
        <is>
          <t>CL-015</t>
        </is>
      </c>
      <c r="B16">
        <f>IF($A16="","",_xlfn.XLOOKUP($A16,FacturasTable[id_cliente],FacturasTable[cliente],""))</f>
        <v/>
      </c>
      <c r="C16">
        <f>IF($A16="","",_xlfn.XLOOKUP($A16,FacturasTable[id_cliente],FacturasTable[tipo_cliente],""))</f>
        <v/>
      </c>
      <c r="D16" s="19">
        <f>IF($A16="","",_xlfn.XLOOKUP($A16,FacturasTable[id_cliente],FacturasTable[fecha_vencimiento],"")-_xlfn.XLOOKUP($A16,FacturasTable[id_cliente],FacturasTable[fecha_emision],""))</f>
        <v/>
      </c>
      <c r="E16">
        <f>IF($A16="","",IF(AVERAGEIFS(FacturasTable[dias_atraso],FacturasTable[id_cliente],$A16,FacturasTable[dias_atraso],"&gt;0")&gt;30,"Atraso medio",IF(AVERAGEIFS(FacturasTable[dias_atraso],FacturasTable[id_cliente],$A16,FacturasTable[dias_atraso],"&gt;0")&gt;0,"Atraso leve","Paga en término")))</f>
        <v/>
      </c>
      <c r="F16">
        <f>IF($A16="","",_xlfn.XLOOKUP($A16,FacturasTable[id_cliente],FacturasTable[responsable],""))</f>
        <v/>
      </c>
      <c r="H16" s="14" t="inlineStr">
        <is>
          <t>mora_promedio_días</t>
        </is>
      </c>
      <c r="I16" s="5">
        <f>IFERROR(AVERAGEIFS(FacturasTable[dias_atraso],FacturasTable[id_cliente],$I$5,FacturasTable[dias_atraso],"&gt;0"),0)</f>
        <v/>
      </c>
    </row>
    <row r="17" ht="13.9" customHeight="1" s="29">
      <c r="A17" t="inlineStr">
        <is>
          <t>CL-016</t>
        </is>
      </c>
      <c r="B17">
        <f>IF($A17="","",_xlfn.XLOOKUP($A17,FacturasTable[id_cliente],FacturasTable[cliente],""))</f>
        <v/>
      </c>
      <c r="C17">
        <f>IF($A17="","",_xlfn.XLOOKUP($A17,FacturasTable[id_cliente],FacturasTable[tipo_cliente],""))</f>
        <v/>
      </c>
      <c r="D17" s="19">
        <f>IF($A17="","",_xlfn.XLOOKUP($A17,FacturasTable[id_cliente],FacturasTable[fecha_vencimiento],"")-_xlfn.XLOOKUP($A17,FacturasTable[id_cliente],FacturasTable[fecha_emision],""))</f>
        <v/>
      </c>
      <c r="E17">
        <f>IF($A17="","",IF(AVERAGEIFS(FacturasTable[dias_atraso],FacturasTable[id_cliente],$A17,FacturasTable[dias_atraso],"&gt;0")&gt;30,"Atraso medio",IF(AVERAGEIFS(FacturasTable[dias_atraso],FacturasTable[id_cliente],$A17,FacturasTable[dias_atraso],"&gt;0")&gt;0,"Atraso leve","Paga en término")))</f>
        <v/>
      </c>
      <c r="F17">
        <f>IF($A17="","",_xlfn.XLOOKUP($A17,FacturasTable[id_cliente],FacturasTable[responsable],""))</f>
        <v/>
      </c>
      <c r="H17" s="14" t="inlineStr">
        <is>
          <t>última_factura</t>
        </is>
      </c>
      <c r="I17" s="20">
        <f>IF($I$5="","",_xlfn.MAXIFS(FacturasTable[fecha_emision],FacturasTable[id_cliente],$I$5))</f>
        <v/>
      </c>
    </row>
    <row r="18" ht="13.9" customHeight="1" s="29">
      <c r="A18" t="inlineStr">
        <is>
          <t>CL-017</t>
        </is>
      </c>
      <c r="B18">
        <f>IF($A18="","",_xlfn.XLOOKUP($A18,FacturasTable[id_cliente],FacturasTable[cliente],""))</f>
        <v/>
      </c>
      <c r="C18">
        <f>IF($A18="","",_xlfn.XLOOKUP($A18,FacturasTable[id_cliente],FacturasTable[tipo_cliente],""))</f>
        <v/>
      </c>
      <c r="D18" s="19">
        <f>IF($A18="","",_xlfn.XLOOKUP($A18,FacturasTable[id_cliente],FacturasTable[fecha_vencimiento],"")-_xlfn.XLOOKUP($A18,FacturasTable[id_cliente],FacturasTable[fecha_emision],""))</f>
        <v/>
      </c>
      <c r="E18">
        <f>IF($A18="","",IF(AVERAGEIFS(FacturasTable[dias_atraso],FacturasTable[id_cliente],$A18,FacturasTable[dias_atraso],"&gt;0")&gt;30,"Atraso medio",IF(AVERAGEIFS(FacturasTable[dias_atraso],FacturasTable[id_cliente],$A18,FacturasTable[dias_atraso],"&gt;0")&gt;0,"Atraso leve","Paga en término")))</f>
        <v/>
      </c>
      <c r="F18">
        <f>IF($A18="","",_xlfn.XLOOKUP($A18,FacturasTable[id_cliente],FacturasTable[responsable],""))</f>
        <v/>
      </c>
      <c r="H18" s="14" t="inlineStr">
        <is>
          <t>próxima_acción</t>
        </is>
      </c>
      <c r="I18" s="3" t="inlineStr">
        <is>
          <t>Reclamar saldo parcial</t>
        </is>
      </c>
    </row>
    <row r="19" ht="13.9" customHeight="1" s="29">
      <c r="A19" t="inlineStr">
        <is>
          <t>CL-018</t>
        </is>
      </c>
      <c r="B19">
        <f>IF($A19="","",_xlfn.XLOOKUP($A19,FacturasTable[id_cliente],FacturasTable[cliente],""))</f>
        <v/>
      </c>
      <c r="C19">
        <f>IF($A19="","",_xlfn.XLOOKUP($A19,FacturasTable[id_cliente],FacturasTable[tipo_cliente],""))</f>
        <v/>
      </c>
      <c r="D19" s="19">
        <f>IF($A19="","",_xlfn.XLOOKUP($A19,FacturasTable[id_cliente],FacturasTable[fecha_vencimiento],"")-_xlfn.XLOOKUP($A19,FacturasTable[id_cliente],FacturasTable[fecha_emision],""))</f>
        <v/>
      </c>
      <c r="E19">
        <f>IF($A19="","",IF(AVERAGEIFS(FacturasTable[dias_atraso],FacturasTable[id_cliente],$A19,FacturasTable[dias_atraso],"&gt;0")&gt;30,"Atraso medio",IF(AVERAGEIFS(FacturasTable[dias_atraso],FacturasTable[id_cliente],$A19,FacturasTable[dias_atraso],"&gt;0")&gt;0,"Atraso leve","Paga en término")))</f>
        <v/>
      </c>
      <c r="F19">
        <f>IF($A19="","",_xlfn.XLOOKUP($A19,FacturasTable[id_cliente],FacturasTable[responsable],""))</f>
        <v/>
      </c>
      <c r="H19" s="14" t="inlineStr">
        <is>
          <t>vencimiento_más_antiguo_pendiente</t>
        </is>
      </c>
      <c r="I19" s="20">
        <f>IFERROR(_xlfn.MINIFS(Facturas!$C$2:$C$237,Facturas!$E$2:$E$237,$I$5,Facturas!$M$2:$M$237,"&gt;0"),"")</f>
        <v/>
      </c>
    </row>
    <row r="20" ht="13.9" customHeight="1" s="29">
      <c r="A20" t="inlineStr">
        <is>
          <t>CL-019</t>
        </is>
      </c>
      <c r="B20">
        <f>IF($A20="","",_xlfn.XLOOKUP($A20,FacturasTable[id_cliente],FacturasTable[cliente],""))</f>
        <v/>
      </c>
      <c r="C20">
        <f>IF($A20="","",_xlfn.XLOOKUP($A20,FacturasTable[id_cliente],FacturasTable[tipo_cliente],""))</f>
        <v/>
      </c>
      <c r="D20" s="19">
        <f>IF($A20="","",_xlfn.XLOOKUP($A20,FacturasTable[id_cliente],FacturasTable[fecha_vencimiento],"")-_xlfn.XLOOKUP($A20,FacturasTable[id_cliente],FacturasTable[fecha_emision],""))</f>
        <v/>
      </c>
      <c r="E20">
        <f>IF($A20="","",IF(AVERAGEIFS(FacturasTable[dias_atraso],FacturasTable[id_cliente],$A20,FacturasTable[dias_atraso],"&gt;0")&gt;30,"Atraso medio",IF(AVERAGEIFS(FacturasTable[dias_atraso],FacturasTable[id_cliente],$A20,FacturasTable[dias_atraso],"&gt;0")&gt;0,"Atraso leve","Paga en término")))</f>
        <v/>
      </c>
      <c r="F20">
        <f>IF($A20="","",_xlfn.XLOOKUP($A20,FacturasTable[id_cliente],FacturasTable[responsable],""))</f>
        <v/>
      </c>
      <c r="H20" s="14" t="inlineStr">
        <is>
          <t>tiene_deuda</t>
        </is>
      </c>
      <c r="I20">
        <f>IF($I$12&gt;0,"Sí","No")</f>
        <v/>
      </c>
    </row>
    <row r="21">
      <c r="A21" t="inlineStr">
        <is>
          <t>CL-020</t>
        </is>
      </c>
      <c r="B21">
        <f>IF($A21="","",_xlfn.XLOOKUP($A21,FacturasTable[id_cliente],FacturasTable[cliente],""))</f>
        <v/>
      </c>
      <c r="C21">
        <f>IF($A21="","",_xlfn.XLOOKUP($A21,FacturasTable[id_cliente],FacturasTable[tipo_cliente],""))</f>
        <v/>
      </c>
      <c r="D21" s="19">
        <f>IF($A21="","",_xlfn.XLOOKUP($A21,FacturasTable[id_cliente],FacturasTable[fecha_vencimiento],"")-_xlfn.XLOOKUP($A21,FacturasTable[id_cliente],FacturasTable[fecha_emision],""))</f>
        <v/>
      </c>
      <c r="E21">
        <f>IF($A21="","",IF(AVERAGEIFS(FacturasTable[dias_atraso],FacturasTable[id_cliente],$A21,FacturasTable[dias_atraso],"&gt;0")&gt;30,"Atraso medio",IF(AVERAGEIFS(FacturasTable[dias_atraso],FacturasTable[id_cliente],$A21,FacturasTable[dias_atraso],"&gt;0")&gt;0,"Atraso leve","Paga en término")))</f>
        <v/>
      </c>
      <c r="F21">
        <f>IF($A21="","",_xlfn.XLOOKUP($A21,FacturasTable[id_cliente],FacturasTable[responsable],""))</f>
        <v/>
      </c>
    </row>
    <row r="22">
      <c r="A22" t="inlineStr">
        <is>
          <t>CL-021</t>
        </is>
      </c>
      <c r="B22">
        <f>IF($A22="","",_xlfn.XLOOKUP($A22,FacturasTable[id_cliente],FacturasTable[cliente],""))</f>
        <v/>
      </c>
      <c r="C22">
        <f>IF($A22="","",_xlfn.XLOOKUP($A22,FacturasTable[id_cliente],FacturasTable[tipo_cliente],""))</f>
        <v/>
      </c>
      <c r="D22" s="19">
        <f>IF($A22="","",_xlfn.XLOOKUP($A22,FacturasTable[id_cliente],FacturasTable[fecha_vencimiento],"")-_xlfn.XLOOKUP($A22,FacturasTable[id_cliente],FacturasTable[fecha_emision],""))</f>
        <v/>
      </c>
      <c r="E22">
        <f>IF($A22="","",IF(AVERAGEIFS(FacturasTable[dias_atraso],FacturasTable[id_cliente],$A22,FacturasTable[dias_atraso],"&gt;0")&gt;30,"Atraso medio",IF(AVERAGEIFS(FacturasTable[dias_atraso],FacturasTable[id_cliente],$A22,FacturasTable[dias_atraso],"&gt;0")&gt;0,"Atraso leve","Paga en término")))</f>
        <v/>
      </c>
      <c r="F22">
        <f>IF($A22="","",_xlfn.XLOOKUP($A22,FacturasTable[id_cliente],FacturasTable[responsable],""))</f>
        <v/>
      </c>
    </row>
    <row r="23">
      <c r="A23" t="inlineStr">
        <is>
          <t>CL-022</t>
        </is>
      </c>
      <c r="B23">
        <f>IF($A23="","",_xlfn.XLOOKUP($A23,FacturasTable[id_cliente],FacturasTable[cliente],""))</f>
        <v/>
      </c>
      <c r="C23">
        <f>IF($A23="","",_xlfn.XLOOKUP($A23,FacturasTable[id_cliente],FacturasTable[tipo_cliente],""))</f>
        <v/>
      </c>
      <c r="D23" s="19">
        <f>IF($A23="","",_xlfn.XLOOKUP($A23,FacturasTable[id_cliente],FacturasTable[fecha_vencimiento],"")-_xlfn.XLOOKUP($A23,FacturasTable[id_cliente],FacturasTable[fecha_emision],""))</f>
        <v/>
      </c>
      <c r="E23">
        <f>IF($A23="","",IF(AVERAGEIFS(FacturasTable[dias_atraso],FacturasTable[id_cliente],$A23,FacturasTable[dias_atraso],"&gt;0")&gt;30,"Atraso medio",IF(AVERAGEIFS(FacturasTable[dias_atraso],FacturasTable[id_cliente],$A23,FacturasTable[dias_atraso],"&gt;0")&gt;0,"Atraso leve","Paga en término")))</f>
        <v/>
      </c>
      <c r="F23">
        <f>IF($A23="","",_xlfn.XLOOKUP($A23,FacturasTable[id_cliente],FacturasTable[responsable],""))</f>
        <v/>
      </c>
    </row>
    <row r="24">
      <c r="A24" t="inlineStr">
        <is>
          <t>CL-023</t>
        </is>
      </c>
      <c r="B24">
        <f>IF($A24="","",_xlfn.XLOOKUP($A24,FacturasTable[id_cliente],FacturasTable[cliente],""))</f>
        <v/>
      </c>
      <c r="C24">
        <f>IF($A24="","",_xlfn.XLOOKUP($A24,FacturasTable[id_cliente],FacturasTable[tipo_cliente],""))</f>
        <v/>
      </c>
      <c r="D24" s="19">
        <f>IF($A24="","",_xlfn.XLOOKUP($A24,FacturasTable[id_cliente],FacturasTable[fecha_vencimiento],"")-_xlfn.XLOOKUP($A24,FacturasTable[id_cliente],FacturasTable[fecha_emision],""))</f>
        <v/>
      </c>
      <c r="E24">
        <f>IF($A24="","",IF(AVERAGEIFS(FacturasTable[dias_atraso],FacturasTable[id_cliente],$A24,FacturasTable[dias_atraso],"&gt;0")&gt;30,"Atraso medio",IF(AVERAGEIFS(FacturasTable[dias_atraso],FacturasTable[id_cliente],$A24,FacturasTable[dias_atraso],"&gt;0")&gt;0,"Atraso leve","Paga en término")))</f>
        <v/>
      </c>
      <c r="F24">
        <f>IF($A24="","",_xlfn.XLOOKUP($A24,FacturasTable[id_cliente],FacturasTable[responsable],""))</f>
        <v/>
      </c>
    </row>
    <row r="25">
      <c r="A25" t="inlineStr">
        <is>
          <t>CL-024</t>
        </is>
      </c>
      <c r="B25">
        <f>IF($A25="","",_xlfn.XLOOKUP($A25,FacturasTable[id_cliente],FacturasTable[cliente],""))</f>
        <v/>
      </c>
      <c r="C25">
        <f>IF($A25="","",_xlfn.XLOOKUP($A25,FacturasTable[id_cliente],FacturasTable[tipo_cliente],""))</f>
        <v/>
      </c>
      <c r="D25" s="19">
        <f>IF($A25="","",_xlfn.XLOOKUP($A25,FacturasTable[id_cliente],FacturasTable[fecha_vencimiento],"")-_xlfn.XLOOKUP($A25,FacturasTable[id_cliente],FacturasTable[fecha_emision],""))</f>
        <v/>
      </c>
      <c r="E25">
        <f>IF($A25="","",IF(AVERAGEIFS(FacturasTable[dias_atraso],FacturasTable[id_cliente],$A25,FacturasTable[dias_atraso],"&gt;0")&gt;30,"Atraso medio",IF(AVERAGEIFS(FacturasTable[dias_atraso],FacturasTable[id_cliente],$A25,FacturasTable[dias_atraso],"&gt;0")&gt;0,"Atraso leve","Paga en término")))</f>
        <v/>
      </c>
      <c r="F25">
        <f>IF($A25="","",_xlfn.XLOOKUP($A25,FacturasTable[id_cliente],FacturasTable[responsable],""))</f>
        <v/>
      </c>
    </row>
    <row r="26">
      <c r="B26">
        <f>IF($A26="","",_xlfn.XLOOKUP($A26,FacturasTable[id_cliente],FacturasTable[cliente],""))</f>
        <v/>
      </c>
      <c r="C26">
        <f>IF($A26="","",_xlfn.XLOOKUP($A26,FacturasTable[id_cliente],FacturasTable[tipo_cliente],""))</f>
        <v/>
      </c>
      <c r="D26" s="19">
        <f>IF($A26="","",_xlfn.XLOOKUP($A26,FacturasTable[id_cliente],FacturasTable[fecha_vencimiento],"")-_xlfn.XLOOKUP($A26,FacturasTable[id_cliente],FacturasTable[fecha_emision],""))</f>
        <v/>
      </c>
      <c r="E26">
        <f>IF($A26="","",IF(AVERAGEIFS(FacturasTable[dias_atraso],FacturasTable[id_cliente],$A26,FacturasTable[dias_atraso],"&gt;0")&gt;30,"Atraso medio",IF(AVERAGEIFS(FacturasTable[dias_atraso],FacturasTable[id_cliente],$A26,FacturasTable[dias_atraso],"&gt;0")&gt;0,"Atraso leve","Paga en término")))</f>
        <v/>
      </c>
      <c r="F26">
        <f>IF($A26="","",_xlfn.XLOOKUP($A26,FacturasTable[id_cliente],FacturasTable[responsable],""))</f>
        <v/>
      </c>
    </row>
    <row r="27">
      <c r="B27">
        <f>IF($A27="","",_xlfn.XLOOKUP($A27,FacturasTable[id_cliente],FacturasTable[cliente],""))</f>
        <v/>
      </c>
      <c r="C27">
        <f>IF($A27="","",_xlfn.XLOOKUP($A27,FacturasTable[id_cliente],FacturasTable[tipo_cliente],""))</f>
        <v/>
      </c>
      <c r="D27" s="19">
        <f>IF($A27="","",_xlfn.XLOOKUP($A27,FacturasTable[id_cliente],FacturasTable[fecha_vencimiento],"")-_xlfn.XLOOKUP($A27,FacturasTable[id_cliente],FacturasTable[fecha_emision],""))</f>
        <v/>
      </c>
      <c r="E27">
        <f>IF($A27="","",IF(AVERAGEIFS(FacturasTable[dias_atraso],FacturasTable[id_cliente],$A27,FacturasTable[dias_atraso],"&gt;0")&gt;30,"Atraso medio",IF(AVERAGEIFS(FacturasTable[dias_atraso],FacturasTable[id_cliente],$A27,FacturasTable[dias_atraso],"&gt;0")&gt;0,"Atraso leve","Paga en término")))</f>
        <v/>
      </c>
      <c r="F27">
        <f>IF($A27="","",_xlfn.XLOOKUP($A27,FacturasTable[id_cliente],FacturasTable[responsable],""))</f>
        <v/>
      </c>
    </row>
    <row r="28">
      <c r="B28">
        <f>IF($A28="","",_xlfn.XLOOKUP($A28,FacturasTable[id_cliente],FacturasTable[cliente],""))</f>
        <v/>
      </c>
      <c r="C28">
        <f>IF($A28="","",_xlfn.XLOOKUP($A28,FacturasTable[id_cliente],FacturasTable[tipo_cliente],""))</f>
        <v/>
      </c>
      <c r="D28" s="19">
        <f>IF($A28="","",_xlfn.XLOOKUP($A28,FacturasTable[id_cliente],FacturasTable[fecha_vencimiento],"")-_xlfn.XLOOKUP($A28,FacturasTable[id_cliente],FacturasTable[fecha_emision],""))</f>
        <v/>
      </c>
      <c r="E28">
        <f>IF($A28="","",IF(AVERAGEIFS(FacturasTable[dias_atraso],FacturasTable[id_cliente],$A28,FacturasTable[dias_atraso],"&gt;0")&gt;30,"Atraso medio",IF(AVERAGEIFS(FacturasTable[dias_atraso],FacturasTable[id_cliente],$A28,FacturasTable[dias_atraso],"&gt;0")&gt;0,"Atraso leve","Paga en término")))</f>
        <v/>
      </c>
      <c r="F28">
        <f>IF($A28="","",_xlfn.XLOOKUP($A28,FacturasTable[id_cliente],FacturasTable[responsable],""))</f>
        <v/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>
      <c r="D54" s="19" t="n"/>
    </row>
    <row r="55">
      <c r="D55" s="19" t="n"/>
    </row>
    <row r="56">
      <c r="D56" s="19" t="n"/>
    </row>
    <row r="57">
      <c r="D57" s="19" t="n"/>
    </row>
    <row r="58">
      <c r="D58" s="19" t="n"/>
    </row>
    <row r="59">
      <c r="D59" s="19" t="n"/>
    </row>
    <row r="60">
      <c r="D60" s="19" t="n"/>
    </row>
  </sheetData>
  <mergeCells count="1">
    <mergeCell ref="H1:I1"/>
  </mergeCells>
  <conditionalFormatting sqref="I12">
    <cfRule type="cellIs" priority="1" operator="greaterThan" dxfId="0">
      <formula>0</formula>
    </cfRule>
  </conditionalFormatting>
  <conditionalFormatting sqref="I20">
    <cfRule type="expression" priority="2" dxfId="0">
      <formula>I20="Sí"</formula>
    </cfRule>
  </conditionalFormatting>
  <dataValidations disablePrompts="1" count="1">
    <dataValidation sqref="I3" showDropDown="0" showInputMessage="0" showErrorMessage="0" allowBlank="0" type="list">
      <formula1>$B$2:$B$25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B5" sqref="B5"/>
    </sheetView>
  </sheetViews>
  <sheetFormatPr baseColWidth="10" defaultColWidth="9" defaultRowHeight="13.5"/>
  <cols>
    <col width="10.625" bestFit="1" customWidth="1" style="29" min="1" max="1"/>
    <col width="30.75" bestFit="1" customWidth="1" style="29" min="2" max="2"/>
    <col width="16.875" customWidth="1" style="29" min="3" max="3"/>
    <col width="9.125" customWidth="1" style="29" min="4" max="4"/>
    <col width="21.375" bestFit="1" customWidth="1" style="29" min="5" max="5"/>
    <col width="22.875" bestFit="1" customWidth="1" style="29" min="6" max="6"/>
    <col width="21.375" bestFit="1" customWidth="1" style="29" min="7" max="7"/>
    <col width="18.25" bestFit="1" customWidth="1" style="29" min="8" max="8"/>
  </cols>
  <sheetData>
    <row r="1" ht="13.9" customHeight="1" s="29">
      <c r="A1" s="11" t="inlineStr">
        <is>
          <t>id_servicio</t>
        </is>
      </c>
      <c r="B1" s="11" t="inlineStr">
        <is>
          <t>tipo_servicio</t>
        </is>
      </c>
      <c r="C1" s="11" t="inlineStr">
        <is>
          <t>moneda_principal</t>
        </is>
      </c>
      <c r="D1" s="11" t="inlineStr">
        <is>
          <t>facturas</t>
        </is>
      </c>
      <c r="E1" s="11" t="inlineStr">
        <is>
          <t>total_facturado_eq_ars</t>
        </is>
      </c>
      <c r="F1" s="11" t="inlineStr">
        <is>
          <t>saldo_pendiente_eq_ars</t>
        </is>
      </c>
      <c r="G1" s="11" t="inlineStr">
        <is>
          <t>facturado_usd_original</t>
        </is>
      </c>
      <c r="H1" s="11" t="inlineStr">
        <is>
          <t>observación</t>
        </is>
      </c>
    </row>
    <row r="2">
      <c r="A2">
        <f t="array" ref="A2:A6">_xlfn._xlws.SORT(_xlfn.UNIQUE(FacturasTable[id_servicio]))</f>
        <v/>
      </c>
      <c r="B2">
        <f>IF($A2="","",_xlfn.XLOOKUP($A2,FacturasTable[id_servicio],FacturasTable[tipo_servicio],""))</f>
        <v/>
      </c>
      <c r="C2">
        <f>IF($A2="","",IF(COUNTIFS(FacturasTable[id_servicio],$A2,FacturasTable[moneda],"USD")&gt;=COUNTIFS(FacturasTable[id_servicio],$A2,FacturasTable[moneda],"ARS"),"USD","ARS"))</f>
        <v/>
      </c>
      <c r="D2" s="5">
        <f>IF($A2="","",COUNTIFS(FacturasTable[id_servicio],$A2))</f>
        <v/>
      </c>
      <c r="E2" s="15">
        <f>IF($A2="","",SUMIFS(FacturasTable[importe_equivalente_ars],FacturasTable[id_servicio],$A2))</f>
        <v/>
      </c>
      <c r="F2" s="15">
        <f>IF($A2="","",SUMIFS(FacturasTable[saldo_equivalente_ars],FacturasTable[id_servicio],$A2))</f>
        <v/>
      </c>
      <c r="G2" s="15">
        <f>IF($A2="","",SUMIFS(FacturasTable[importe_facturado],FacturasTable[id_servicio],$A2,FacturasTable[moneda],"USD"))</f>
        <v/>
      </c>
      <c r="H2">
        <f>IF($A2="","",IF($F2&gt;0,"Con deuda pendiente","Sin deuda pendiente"))</f>
        <v/>
      </c>
    </row>
    <row r="3">
      <c r="A3" t="inlineStr">
        <is>
          <t>SRV-002</t>
        </is>
      </c>
      <c r="B3">
        <f>IF($A3="","",_xlfn.XLOOKUP($A3,FacturasTable[id_servicio],FacturasTable[tipo_servicio],""))</f>
        <v/>
      </c>
      <c r="C3">
        <f>IF($A3="","",IF(COUNTIFS(FacturasTable[id_servicio],$A3,FacturasTable[moneda],"USD")&gt;=COUNTIFS(FacturasTable[id_servicio],$A3,FacturasTable[moneda],"ARS"),"USD","ARS"))</f>
        <v/>
      </c>
      <c r="D3" s="5">
        <f>IF($A3="","",COUNTIFS(FacturasTable[id_servicio],$A3))</f>
        <v/>
      </c>
      <c r="E3" s="15">
        <f>IF($A3="","",SUMIFS(FacturasTable[importe_equivalente_ars],FacturasTable[id_servicio],$A3))</f>
        <v/>
      </c>
      <c r="F3" s="15">
        <f>IF($A3="","",SUMIFS(FacturasTable[saldo_equivalente_ars],FacturasTable[id_servicio],$A3))</f>
        <v/>
      </c>
      <c r="G3" s="15">
        <f>IF($A3="","",SUMIFS(FacturasTable[importe_facturado],FacturasTable[id_servicio],$A3,FacturasTable[moneda],"USD"))</f>
        <v/>
      </c>
      <c r="H3">
        <f>IF($A3="","",IF($F3&gt;0,"Con deuda pendiente","Sin deuda pendiente"))</f>
        <v/>
      </c>
    </row>
    <row r="4">
      <c r="A4" t="inlineStr">
        <is>
          <t>SRV-003</t>
        </is>
      </c>
      <c r="B4">
        <f>IF($A4="","",_xlfn.XLOOKUP($A4,FacturasTable[id_servicio],FacturasTable[tipo_servicio],""))</f>
        <v/>
      </c>
      <c r="C4">
        <f>IF($A4="","",IF(COUNTIFS(FacturasTable[id_servicio],$A4,FacturasTable[moneda],"USD")&gt;=COUNTIFS(FacturasTable[id_servicio],$A4,FacturasTable[moneda],"ARS"),"USD","ARS"))</f>
        <v/>
      </c>
      <c r="D4" s="5">
        <f>IF($A4="","",COUNTIFS(FacturasTable[id_servicio],$A4))</f>
        <v/>
      </c>
      <c r="E4" s="15">
        <f>IF($A4="","",SUMIFS(FacturasTable[importe_equivalente_ars],FacturasTable[id_servicio],$A4))</f>
        <v/>
      </c>
      <c r="F4" s="15">
        <f>IF($A4="","",SUMIFS(FacturasTable[saldo_equivalente_ars],FacturasTable[id_servicio],$A4))</f>
        <v/>
      </c>
      <c r="G4" s="15">
        <f>IF($A4="","",SUMIFS(FacturasTable[importe_facturado],FacturasTable[id_servicio],$A4,FacturasTable[moneda],"USD"))</f>
        <v/>
      </c>
      <c r="H4">
        <f>IF($A4="","",IF($F4&gt;0,"Con deuda pendiente","Sin deuda pendiente"))</f>
        <v/>
      </c>
    </row>
    <row r="5">
      <c r="A5" t="inlineStr">
        <is>
          <t>SRV-004</t>
        </is>
      </c>
      <c r="B5">
        <f>IF($A5="","",_xlfn.XLOOKUP($A5,FacturasTable[id_servicio],FacturasTable[tipo_servicio],""))</f>
        <v/>
      </c>
      <c r="C5">
        <f>IF($A5="","",IF(COUNTIFS(FacturasTable[id_servicio],$A5,FacturasTable[moneda],"USD")&gt;=COUNTIFS(FacturasTable[id_servicio],$A5,FacturasTable[moneda],"ARS"),"USD","ARS"))</f>
        <v/>
      </c>
      <c r="D5" s="5">
        <f>IF($A5="","",COUNTIFS(FacturasTable[id_servicio],$A5))</f>
        <v/>
      </c>
      <c r="E5" s="15">
        <f>IF($A5="","",SUMIFS(FacturasTable[importe_equivalente_ars],FacturasTable[id_servicio],$A5))</f>
        <v/>
      </c>
      <c r="F5" s="15">
        <f>IF($A5="","",SUMIFS(FacturasTable[saldo_equivalente_ars],FacturasTable[id_servicio],$A5))</f>
        <v/>
      </c>
      <c r="G5" s="15">
        <f>IF($A5="","",SUMIFS(FacturasTable[importe_facturado],FacturasTable[id_servicio],$A5,FacturasTable[moneda],"USD"))</f>
        <v/>
      </c>
      <c r="H5">
        <f>IF($A5="","",IF($F5&gt;0,"Con deuda pendiente","Sin deuda pendiente"))</f>
        <v/>
      </c>
    </row>
    <row r="6">
      <c r="A6" t="inlineStr">
        <is>
          <t>SRV-005</t>
        </is>
      </c>
      <c r="B6">
        <f>IF($A6="","",_xlfn.XLOOKUP($A6,FacturasTable[id_servicio],FacturasTable[tipo_servicio],""))</f>
        <v/>
      </c>
      <c r="C6">
        <f>IF($A6="","",IF(COUNTIFS(FacturasTable[id_servicio],$A6,FacturasTable[moneda],"USD")&gt;=COUNTIFS(FacturasTable[id_servicio],$A6,FacturasTable[moneda],"ARS"),"USD","ARS"))</f>
        <v/>
      </c>
      <c r="D6" s="5">
        <f>IF($A6="","",COUNTIFS(FacturasTable[id_servicio],$A6))</f>
        <v/>
      </c>
      <c r="E6" s="15">
        <f>IF($A6="","",SUMIFS(FacturasTable[importe_equivalente_ars],FacturasTable[id_servicio],$A6))</f>
        <v/>
      </c>
      <c r="F6" s="15">
        <f>IF($A6="","",SUMIFS(FacturasTable[saldo_equivalente_ars],FacturasTable[id_servicio],$A6))</f>
        <v/>
      </c>
      <c r="G6" s="15">
        <f>IF($A6="","",SUMIFS(FacturasTable[importe_facturado],FacturasTable[id_servicio],$A6,FacturasTable[moneda],"USD"))</f>
        <v/>
      </c>
      <c r="H6">
        <f>IF($A6="","",IF($F6&gt;0,"Con deuda pendiente","Sin deuda pendiente"))</f>
        <v/>
      </c>
    </row>
    <row r="7">
      <c r="B7">
        <f>IF($A7="","",_xlfn.XLOOKUP($A7,FacturasTable[id_servicio],FacturasTable[tipo_servicio],""))</f>
        <v/>
      </c>
      <c r="C7">
        <f>IF($A7="","",IF(COUNTIFS(FacturasTable[id_servicio],$A7,FacturasTable[moneda],"USD")&gt;=COUNTIFS(FacturasTable[id_servicio],$A7,FacturasTable[moneda],"ARS"),"USD","ARS"))</f>
        <v/>
      </c>
      <c r="D7" s="5">
        <f>IF($A7="","",COUNTIFS(FacturasTable[id_servicio],$A7))</f>
        <v/>
      </c>
      <c r="E7" s="15">
        <f>IF($A7="","",SUMIFS(FacturasTable[importe_equivalente_ars],FacturasTable[id_servicio],$A7))</f>
        <v/>
      </c>
      <c r="F7" s="15">
        <f>IF($A7="","",SUMIFS(FacturasTable[saldo_equivalente_ars],FacturasTable[id_servicio],$A7))</f>
        <v/>
      </c>
      <c r="G7" s="15">
        <f>IF($A7="","",SUMIFS(FacturasTable[importe_facturado],FacturasTable[id_servicio],$A7,FacturasTable[moneda],"USD"))</f>
        <v/>
      </c>
      <c r="H7">
        <f>IF($A7="","",IF($F7&gt;0,"Con deuda pendiente","Sin deuda pendiente"))</f>
        <v/>
      </c>
    </row>
    <row r="8">
      <c r="B8">
        <f>IF($A8="","",_xlfn.XLOOKUP($A8,FacturasTable[id_servicio],FacturasTable[tipo_servicio],""))</f>
        <v/>
      </c>
      <c r="C8">
        <f>IF($A8="","",IF(COUNTIFS(FacturasTable[id_servicio],$A8,FacturasTable[moneda],"USD")&gt;=COUNTIFS(FacturasTable[id_servicio],$A8,FacturasTable[moneda],"ARS"),"USD","ARS"))</f>
        <v/>
      </c>
      <c r="D8" s="5">
        <f>IF($A8="","",COUNTIFS(FacturasTable[id_servicio],$A8))</f>
        <v/>
      </c>
      <c r="E8" s="15">
        <f>IF($A8="","",SUMIFS(FacturasTable[importe_equivalente_ars],FacturasTable[id_servicio],$A8))</f>
        <v/>
      </c>
      <c r="F8" s="15">
        <f>IF($A8="","",SUMIFS(FacturasTable[saldo_equivalente_ars],FacturasTable[id_servicio],$A8))</f>
        <v/>
      </c>
      <c r="G8" s="15">
        <f>IF($A8="","",SUMIFS(FacturasTable[importe_facturado],FacturasTable[id_servicio],$A8,FacturasTable[moneda],"USD"))</f>
        <v/>
      </c>
      <c r="H8">
        <f>IF($A8="","",IF($F8&gt;0,"Con deuda pendiente","Sin deuda pendiente"))</f>
        <v/>
      </c>
    </row>
    <row r="9">
      <c r="B9">
        <f>IF($A9="","",_xlfn.XLOOKUP($A9,FacturasTable[id_servicio],FacturasTable[tipo_servicio],""))</f>
        <v/>
      </c>
      <c r="C9">
        <f>IF($A9="","",IF(COUNTIFS(FacturasTable[id_servicio],$A9,FacturasTable[moneda],"USD")&gt;=COUNTIFS(FacturasTable[id_servicio],$A9,FacturasTable[moneda],"ARS"),"USD","ARS"))</f>
        <v/>
      </c>
      <c r="D9" s="5">
        <f>IF($A9="","",COUNTIFS(FacturasTable[id_servicio],$A9))</f>
        <v/>
      </c>
      <c r="E9" s="15">
        <f>IF($A9="","",SUMIFS(FacturasTable[importe_equivalente_ars],FacturasTable[id_servicio],$A9))</f>
        <v/>
      </c>
      <c r="F9" s="15">
        <f>IF($A9="","",SUMIFS(FacturasTable[saldo_equivalente_ars],FacturasTable[id_servicio],$A9))</f>
        <v/>
      </c>
      <c r="G9" s="15">
        <f>IF($A9="","",SUMIFS(FacturasTable[importe_facturado],FacturasTable[id_servicio],$A9,FacturasTable[moneda],"USD"))</f>
        <v/>
      </c>
      <c r="H9">
        <f>IF($A9="","",IF($F9&gt;0,"Con deuda pendiente","Sin deuda pendiente"))</f>
        <v/>
      </c>
    </row>
    <row r="10">
      <c r="B10">
        <f>IF($A10="","",_xlfn.XLOOKUP($A10,FacturasTable[id_servicio],FacturasTable[tipo_servicio],""))</f>
        <v/>
      </c>
      <c r="C10">
        <f>IF($A10="","",IF(COUNTIFS(FacturasTable[id_servicio],$A10,FacturasTable[moneda],"USD")&gt;=COUNTIFS(FacturasTable[id_servicio],$A10,FacturasTable[moneda],"ARS"),"USD","ARS"))</f>
        <v/>
      </c>
      <c r="D10" s="5">
        <f>IF($A10="","",COUNTIFS(FacturasTable[id_servicio],$A10))</f>
        <v/>
      </c>
      <c r="E10" s="15">
        <f>IF($A10="","",SUMIFS(FacturasTable[importe_equivalente_ars],FacturasTable[id_servicio],$A10))</f>
        <v/>
      </c>
      <c r="F10" s="15">
        <f>IF($A10="","",SUMIFS(FacturasTable[saldo_equivalente_ars],FacturasTable[id_servicio],$A10))</f>
        <v/>
      </c>
      <c r="G10" s="15">
        <f>IF($A10="","",SUMIFS(FacturasTable[importe_facturado],FacturasTable[id_servicio],$A10,FacturasTable[moneda],"USD"))</f>
        <v/>
      </c>
      <c r="H10">
        <f>IF($A10="","",IF($F10&gt;0,"Con deuda pendiente","Sin deuda pendiente"))</f>
        <v/>
      </c>
    </row>
    <row r="11">
      <c r="B11">
        <f>IF($A11="","",_xlfn.XLOOKUP($A11,FacturasTable[id_servicio],FacturasTable[tipo_servicio],""))</f>
        <v/>
      </c>
      <c r="C11">
        <f>IF($A11="","",IF(COUNTIFS(FacturasTable[id_servicio],$A11,FacturasTable[moneda],"USD")&gt;=COUNTIFS(FacturasTable[id_servicio],$A11,FacturasTable[moneda],"ARS"),"USD","ARS"))</f>
        <v/>
      </c>
      <c r="D11" s="5">
        <f>IF($A11="","",COUNTIFS(FacturasTable[id_servicio],$A11))</f>
        <v/>
      </c>
      <c r="E11" s="15">
        <f>IF($A11="","",SUMIFS(FacturasTable[importe_equivalente_ars],FacturasTable[id_servicio],$A11))</f>
        <v/>
      </c>
      <c r="F11" s="15">
        <f>IF($A11="","",SUMIFS(FacturasTable[saldo_equivalente_ars],FacturasTable[id_servicio],$A11))</f>
        <v/>
      </c>
      <c r="G11" s="15">
        <f>IF($A11="","",SUMIFS(FacturasTable[importe_facturado],FacturasTable[id_servicio],$A11,FacturasTable[moneda],"USD"))</f>
        <v/>
      </c>
      <c r="H11">
        <f>IF($A11="","",IF($F11&gt;0,"Con deuda pendiente","Sin deuda pendiente"))</f>
        <v/>
      </c>
    </row>
    <row r="12">
      <c r="B12">
        <f>IF($A12="","",_xlfn.XLOOKUP($A12,FacturasTable[id_servicio],FacturasTable[tipo_servicio],""))</f>
        <v/>
      </c>
      <c r="C12">
        <f>IF($A12="","",IF(COUNTIFS(FacturasTable[id_servicio],$A12,FacturasTable[moneda],"USD")&gt;=COUNTIFS(FacturasTable[id_servicio],$A12,FacturasTable[moneda],"ARS"),"USD","ARS"))</f>
        <v/>
      </c>
      <c r="D12" s="5">
        <f>IF($A12="","",COUNTIFS(FacturasTable[id_servicio],$A12))</f>
        <v/>
      </c>
      <c r="E12" s="15">
        <f>IF($A12="","",SUMIFS(FacturasTable[importe_equivalente_ars],FacturasTable[id_servicio],$A12))</f>
        <v/>
      </c>
      <c r="F12" s="15">
        <f>IF($A12="","",SUMIFS(FacturasTable[saldo_equivalente_ars],FacturasTable[id_servicio],$A12))</f>
        <v/>
      </c>
      <c r="G12" s="15">
        <f>IF($A12="","",SUMIFS(FacturasTable[importe_facturado],FacturasTable[id_servicio],$A12,FacturasTable[moneda],"USD"))</f>
        <v/>
      </c>
      <c r="H12">
        <f>IF($A12="","",IF($F12&gt;0,"Con deuda pendiente","Sin deuda pendiente"))</f>
        <v/>
      </c>
    </row>
    <row r="13">
      <c r="B13">
        <f>IF($A13="","",_xlfn.XLOOKUP($A13,FacturasTable[id_servicio],FacturasTable[tipo_servicio],""))</f>
        <v/>
      </c>
      <c r="C13">
        <f>IF($A13="","",IF(COUNTIFS(FacturasTable[id_servicio],$A13,FacturasTable[moneda],"USD")&gt;=COUNTIFS(FacturasTable[id_servicio],$A13,FacturasTable[moneda],"ARS"),"USD","ARS"))</f>
        <v/>
      </c>
      <c r="D13" s="5">
        <f>IF($A13="","",COUNTIFS(FacturasTable[id_servicio],$A13))</f>
        <v/>
      </c>
      <c r="E13" s="15">
        <f>IF($A13="","",SUMIFS(FacturasTable[importe_equivalente_ars],FacturasTable[id_servicio],$A13))</f>
        <v/>
      </c>
      <c r="F13" s="15">
        <f>IF($A13="","",SUMIFS(FacturasTable[saldo_equivalente_ars],FacturasTable[id_servicio],$A13))</f>
        <v/>
      </c>
      <c r="G13" s="15">
        <f>IF($A13="","",SUMIFS(FacturasTable[importe_facturado],FacturasTable[id_servicio],$A13,FacturasTable[moneda],"USD"))</f>
        <v/>
      </c>
      <c r="H13">
        <f>IF($A13="","",IF($F13&gt;0,"Con deuda pendiente","Sin deuda pendiente"))</f>
        <v/>
      </c>
    </row>
    <row r="14">
      <c r="B14">
        <f>IF($A14="","",_xlfn.XLOOKUP($A14,FacturasTable[id_servicio],FacturasTable[tipo_servicio],""))</f>
        <v/>
      </c>
      <c r="C14">
        <f>IF($A14="","",IF(COUNTIFS(FacturasTable[id_servicio],$A14,FacturasTable[moneda],"USD")&gt;=COUNTIFS(FacturasTable[id_servicio],$A14,FacturasTable[moneda],"ARS"),"USD","ARS"))</f>
        <v/>
      </c>
      <c r="D14" s="5">
        <f>IF($A14="","",COUNTIFS(FacturasTable[id_servicio],$A14))</f>
        <v/>
      </c>
      <c r="E14" s="15">
        <f>IF($A14="","",SUMIFS(FacturasTable[importe_equivalente_ars],FacturasTable[id_servicio],$A14))</f>
        <v/>
      </c>
      <c r="F14" s="15">
        <f>IF($A14="","",SUMIFS(FacturasTable[saldo_equivalente_ars],FacturasTable[id_servicio],$A14))</f>
        <v/>
      </c>
      <c r="G14" s="15">
        <f>IF($A14="","",SUMIFS(FacturasTable[importe_facturado],FacturasTable[id_servicio],$A14,FacturasTable[moneda],"USD"))</f>
        <v/>
      </c>
      <c r="H14">
        <f>IF($A14="","",IF($F14&gt;0,"Con deuda pendiente","Sin deuda pendiente"))</f>
        <v/>
      </c>
    </row>
    <row r="15">
      <c r="B15">
        <f>IF($A15="","",_xlfn.XLOOKUP($A15,FacturasTable[id_servicio],FacturasTable[tipo_servicio],""))</f>
        <v/>
      </c>
      <c r="C15">
        <f>IF($A15="","",IF(COUNTIFS(FacturasTable[id_servicio],$A15,FacturasTable[moneda],"USD")&gt;=COUNTIFS(FacturasTable[id_servicio],$A15,FacturasTable[moneda],"ARS"),"USD","ARS"))</f>
        <v/>
      </c>
      <c r="D15" s="5">
        <f>IF($A15="","",COUNTIFS(FacturasTable[id_servicio],$A15))</f>
        <v/>
      </c>
      <c r="E15" s="15">
        <f>IF($A15="","",SUMIFS(FacturasTable[importe_equivalente_ars],FacturasTable[id_servicio],$A15))</f>
        <v/>
      </c>
      <c r="F15" s="15">
        <f>IF($A15="","",SUMIFS(FacturasTable[saldo_equivalente_ars],FacturasTable[id_servicio],$A15))</f>
        <v/>
      </c>
      <c r="G15" s="15">
        <f>IF($A15="","",SUMIFS(FacturasTable[importe_facturado],FacturasTable[id_servicio],$A15,FacturasTable[moneda],"USD"))</f>
        <v/>
      </c>
      <c r="H15">
        <f>IF($A15="","",IF($F15&gt;0,"Con deuda pendiente","Sin deuda pendiente"))</f>
        <v/>
      </c>
    </row>
    <row r="16">
      <c r="B16">
        <f>IF($A16="","",_xlfn.XLOOKUP($A16,FacturasTable[id_servicio],FacturasTable[tipo_servicio],""))</f>
        <v/>
      </c>
      <c r="C16">
        <f>IF($A16="","",IF(COUNTIFS(FacturasTable[id_servicio],$A16,FacturasTable[moneda],"USD")&gt;=COUNTIFS(FacturasTable[id_servicio],$A16,FacturasTable[moneda],"ARS"),"USD","ARS"))</f>
        <v/>
      </c>
      <c r="D16" s="5">
        <f>IF($A16="","",COUNTIFS(FacturasTable[id_servicio],$A16))</f>
        <v/>
      </c>
      <c r="E16" s="15">
        <f>IF($A16="","",SUMIFS(FacturasTable[importe_equivalente_ars],FacturasTable[id_servicio],$A16))</f>
        <v/>
      </c>
      <c r="F16" s="15">
        <f>IF($A16="","",SUMIFS(FacturasTable[saldo_equivalente_ars],FacturasTable[id_servicio],$A16))</f>
        <v/>
      </c>
      <c r="G16" s="15">
        <f>IF($A16="","",SUMIFS(FacturasTable[importe_facturado],FacturasTable[id_servicio],$A16,FacturasTable[moneda],"USD"))</f>
        <v/>
      </c>
      <c r="H16">
        <f>IF($A16="","",IF($F16&gt;0,"Con deuda pendiente","Sin deuda pendiente"))</f>
        <v/>
      </c>
    </row>
    <row r="17">
      <c r="B17">
        <f>IF($A17="","",_xlfn.XLOOKUP($A17,FacturasTable[id_servicio],FacturasTable[tipo_servicio],""))</f>
        <v/>
      </c>
      <c r="C17">
        <f>IF($A17="","",IF(COUNTIFS(FacturasTable[id_servicio],$A17,FacturasTable[moneda],"USD")&gt;=COUNTIFS(FacturasTable[id_servicio],$A17,FacturasTable[moneda],"ARS"),"USD","ARS"))</f>
        <v/>
      </c>
      <c r="D17" s="5">
        <f>IF($A17="","",COUNTIFS(FacturasTable[id_servicio],$A17))</f>
        <v/>
      </c>
      <c r="E17" s="15">
        <f>IF($A17="","",SUMIFS(FacturasTable[importe_equivalente_ars],FacturasTable[id_servicio],$A17))</f>
        <v/>
      </c>
      <c r="F17" s="15">
        <f>IF($A17="","",SUMIFS(FacturasTable[saldo_equivalente_ars],FacturasTable[id_servicio],$A17))</f>
        <v/>
      </c>
      <c r="G17" s="15">
        <f>IF($A17="","",SUMIFS(FacturasTable[importe_facturado],FacturasTable[id_servicio],$A17,FacturasTable[moneda],"USD"))</f>
        <v/>
      </c>
      <c r="H17">
        <f>IF($A17="","",IF($F17&gt;0,"Con deuda pendiente","Sin deuda pendiente"))</f>
        <v/>
      </c>
    </row>
    <row r="18">
      <c r="B18">
        <f>IF($A18="","",_xlfn.XLOOKUP($A18,FacturasTable[id_servicio],FacturasTable[tipo_servicio],""))</f>
        <v/>
      </c>
      <c r="C18">
        <f>IF($A18="","",IF(COUNTIFS(FacturasTable[id_servicio],$A18,FacturasTable[moneda],"USD")&gt;=COUNTIFS(FacturasTable[id_servicio],$A18,FacturasTable[moneda],"ARS"),"USD","ARS"))</f>
        <v/>
      </c>
      <c r="D18" s="5">
        <f>IF($A18="","",COUNTIFS(FacturasTable[id_servicio],$A18))</f>
        <v/>
      </c>
      <c r="E18" s="15">
        <f>IF($A18="","",SUMIFS(FacturasTable[importe_equivalente_ars],FacturasTable[id_servicio],$A18))</f>
        <v/>
      </c>
      <c r="F18" s="15">
        <f>IF($A18="","",SUMIFS(FacturasTable[saldo_equivalente_ars],FacturasTable[id_servicio],$A18))</f>
        <v/>
      </c>
      <c r="G18" s="15">
        <f>IF($A18="","",SUMIFS(FacturasTable[importe_facturado],FacturasTable[id_servicio],$A18,FacturasTable[moneda],"USD"))</f>
        <v/>
      </c>
      <c r="H18">
        <f>IF($A18="","",IF($F18&gt;0,"Con deuda pendiente","Sin deuda pendiente"))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C11" sqref="C11"/>
    </sheetView>
  </sheetViews>
  <sheetFormatPr baseColWidth="10" defaultColWidth="9" defaultRowHeight="13.5"/>
  <cols>
    <col width="14" customWidth="1" style="29" min="1" max="1"/>
    <col width="22" customWidth="1" style="29" min="2" max="2"/>
    <col width="36" customWidth="1" style="29" min="3" max="3"/>
  </cols>
  <sheetData>
    <row r="1" ht="13.9" customHeight="1" s="29">
      <c r="A1" s="6" t="inlineStr">
        <is>
          <t>mes</t>
        </is>
      </c>
      <c r="B1" s="6" t="inlineStr">
        <is>
          <t>tipo_cambio_referencia</t>
        </is>
      </c>
      <c r="C1" s="6" t="inlineStr">
        <is>
          <t>nota</t>
        </is>
      </c>
    </row>
    <row r="2">
      <c r="A2" s="7" t="n">
        <v>45870</v>
      </c>
      <c r="B2" s="4" t="n">
        <v>1297</v>
      </c>
      <c r="C2" t="inlineStr">
        <is>
          <t>Tipo de cambio ficticio para portfolio</t>
        </is>
      </c>
    </row>
    <row r="3">
      <c r="A3" s="7" t="n">
        <v>45901</v>
      </c>
      <c r="B3" s="4" t="n">
        <v>1330</v>
      </c>
      <c r="C3" t="inlineStr">
        <is>
          <t>Tipo de cambio ficticio para portfolio</t>
        </is>
      </c>
    </row>
    <row r="4">
      <c r="A4" s="7" t="n">
        <v>45931</v>
      </c>
      <c r="B4" s="4" t="n">
        <v>1354</v>
      </c>
      <c r="C4" t="inlineStr">
        <is>
          <t>Tipo de cambio ficticio para portfolio</t>
        </is>
      </c>
    </row>
    <row r="5">
      <c r="A5" s="7" t="n">
        <v>45962</v>
      </c>
      <c r="B5" s="4" t="n">
        <v>1398</v>
      </c>
      <c r="C5" t="inlineStr">
        <is>
          <t>Tipo de cambio ficticio para portfolio</t>
        </is>
      </c>
    </row>
    <row r="6">
      <c r="A6" s="7" t="n">
        <v>45992</v>
      </c>
      <c r="B6" s="4" t="n">
        <v>1436</v>
      </c>
      <c r="C6" t="inlineStr">
        <is>
          <t>Tipo de cambio ficticio para portfolio</t>
        </is>
      </c>
    </row>
    <row r="7">
      <c r="A7" s="7" t="n">
        <v>46023</v>
      </c>
      <c r="B7" s="4" t="n">
        <v>1457</v>
      </c>
      <c r="C7" t="inlineStr">
        <is>
          <t>Tipo de cambio ficticio para portfolio</t>
        </is>
      </c>
    </row>
    <row r="8">
      <c r="A8" s="7" t="n">
        <v>46054</v>
      </c>
      <c r="B8" s="4" t="n">
        <v>1501</v>
      </c>
      <c r="C8" t="inlineStr">
        <is>
          <t>Tipo de cambio ficticio para portfolio</t>
        </is>
      </c>
    </row>
    <row r="9">
      <c r="A9" s="7" t="n">
        <v>46082</v>
      </c>
      <c r="B9" s="4" t="n">
        <v>1554</v>
      </c>
      <c r="C9" t="inlineStr">
        <is>
          <t>Tipo de cambio ficticio para portfolio</t>
        </is>
      </c>
    </row>
    <row r="10">
      <c r="A10" s="7" t="n">
        <v>46113</v>
      </c>
      <c r="B10" s="4" t="n">
        <v>1600</v>
      </c>
      <c r="C10" t="inlineStr">
        <is>
          <t>Tipo de cambio ficticio para portfolio</t>
        </is>
      </c>
    </row>
    <row r="11">
      <c r="A11" s="7" t="n">
        <v>46143</v>
      </c>
      <c r="B11" s="4" t="n">
        <v>1653</v>
      </c>
      <c r="C11" t="inlineStr">
        <is>
          <t>Tipo de cambio ficticio para portfolio</t>
        </is>
      </c>
    </row>
    <row r="12">
      <c r="A12" s="7" t="n">
        <v>46174</v>
      </c>
      <c r="B12" s="4" t="n">
        <v>1669</v>
      </c>
      <c r="C12" t="inlineStr">
        <is>
          <t>Tipo de cambio ficticio para portfolio</t>
        </is>
      </c>
    </row>
    <row r="13">
      <c r="A13" s="7" t="n">
        <v>46204</v>
      </c>
      <c r="B13" s="4" t="n">
        <v>1716</v>
      </c>
      <c r="C13" t="inlineStr">
        <is>
          <t>Tipo de cambio ficticio para portfolio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10" defaultColWidth="9" defaultRowHeight="13.5"/>
  <cols>
    <col width="26" customWidth="1" style="29" min="1" max="1"/>
    <col width="60" customWidth="1" style="29" min="2" max="2"/>
    <col width="22" customWidth="1" style="29" min="3" max="3"/>
  </cols>
  <sheetData>
    <row r="1" ht="13.9" customHeight="1" s="29">
      <c r="A1" s="1" t="inlineStr">
        <is>
          <t>Campo</t>
        </is>
      </c>
      <c r="B1" s="1" t="inlineStr">
        <is>
          <t>Descripción</t>
        </is>
      </c>
      <c r="C1" s="1" t="inlineStr">
        <is>
          <t>Tipo / uso</t>
        </is>
      </c>
    </row>
    <row r="2">
      <c r="A2" s="32" t="inlineStr">
        <is>
          <t>id_factura</t>
        </is>
      </c>
      <c r="B2" s="32" t="inlineStr">
        <is>
          <t>Identificador único de factura</t>
        </is>
      </c>
      <c r="C2" s="32" t="inlineStr">
        <is>
          <t>Texto</t>
        </is>
      </c>
    </row>
    <row r="3">
      <c r="A3" s="32" t="inlineStr">
        <is>
          <t>fecha_emision</t>
        </is>
      </c>
      <c r="B3" s="32" t="inlineStr">
        <is>
          <t>Fecha de emisión de la factura</t>
        </is>
      </c>
      <c r="C3" s="32" t="inlineStr">
        <is>
          <t>Fecha</t>
        </is>
      </c>
    </row>
    <row r="4">
      <c r="A4" s="32" t="inlineStr">
        <is>
          <t>fecha_vencimiento</t>
        </is>
      </c>
      <c r="B4" s="32" t="inlineStr">
        <is>
          <t>Fecha límite de pago</t>
        </is>
      </c>
      <c r="C4" s="32" t="inlineStr">
        <is>
          <t>Fecha</t>
        </is>
      </c>
    </row>
    <row r="5">
      <c r="A5" s="32" t="inlineStr">
        <is>
          <t>fecha_pago</t>
        </is>
      </c>
      <c r="B5" s="32" t="inlineStr">
        <is>
          <t>Fecha de pago total o parcial</t>
        </is>
      </c>
      <c r="C5" s="32" t="inlineStr">
        <is>
          <t>Fecha</t>
        </is>
      </c>
    </row>
    <row r="6">
      <c r="A6" s="32" t="inlineStr">
        <is>
          <t>cliente</t>
        </is>
      </c>
      <c r="B6" s="32" t="inlineStr">
        <is>
          <t>Cliente ficticio de la PyME</t>
        </is>
      </c>
      <c r="C6" s="32" t="inlineStr">
        <is>
          <t>Texto</t>
        </is>
      </c>
    </row>
    <row r="7">
      <c r="A7" s="32" t="inlineStr">
        <is>
          <t>tipo_servicio</t>
        </is>
      </c>
      <c r="B7" s="32" t="inlineStr">
        <is>
          <t>Servicio facturado</t>
        </is>
      </c>
      <c r="C7" s="32" t="inlineStr">
        <is>
          <t>Categoría</t>
        </is>
      </c>
    </row>
    <row r="8">
      <c r="A8" s="32" t="inlineStr">
        <is>
          <t>moneda</t>
        </is>
      </c>
      <c r="B8" s="32" t="inlineStr">
        <is>
          <t>Moneda original de la factura</t>
        </is>
      </c>
      <c r="C8" s="32" t="inlineStr">
        <is>
          <t>ARS / USD</t>
        </is>
      </c>
    </row>
    <row r="9">
      <c r="A9" s="32" t="inlineStr">
        <is>
          <t>importe_facturado</t>
        </is>
      </c>
      <c r="B9" s="32" t="inlineStr">
        <is>
          <t>Importe original facturado</t>
        </is>
      </c>
      <c r="C9" s="32" t="inlineStr">
        <is>
          <t>Número</t>
        </is>
      </c>
    </row>
    <row r="10">
      <c r="A10" s="32" t="inlineStr">
        <is>
          <t>importe_cobrado</t>
        </is>
      </c>
      <c r="B10" s="32" t="inlineStr">
        <is>
          <t>Importe cobrado a la fecha</t>
        </is>
      </c>
      <c r="C10" s="32" t="inlineStr">
        <is>
          <t>Número</t>
        </is>
      </c>
    </row>
    <row r="11">
      <c r="A11" s="32" t="inlineStr">
        <is>
          <t>saldo_pendiente</t>
        </is>
      </c>
      <c r="B11" s="32" t="inlineStr">
        <is>
          <t>Importe facturado menos importe cobrado</t>
        </is>
      </c>
      <c r="C11" s="32" t="inlineStr">
        <is>
          <t>Fórmula</t>
        </is>
      </c>
    </row>
    <row r="12">
      <c r="A12" s="32" t="inlineStr">
        <is>
          <t>tipo_cambio</t>
        </is>
      </c>
      <c r="B12" s="32" t="inlineStr">
        <is>
          <t>Tipo de cambio ficticio usado para convertir USD a ARS</t>
        </is>
      </c>
      <c r="C12" s="32" t="inlineStr">
        <is>
          <t>Número</t>
        </is>
      </c>
    </row>
    <row r="13">
      <c r="A13" s="32" t="inlineStr">
        <is>
          <t>importe_equivalente_ars</t>
        </is>
      </c>
      <c r="B13" s="32" t="inlineStr">
        <is>
          <t>Importe facturado expresado en ARS</t>
        </is>
      </c>
      <c r="C13" s="32" t="inlineStr">
        <is>
          <t>Fórmula</t>
        </is>
      </c>
    </row>
    <row r="14">
      <c r="A14" s="32" t="inlineStr">
        <is>
          <t>saldo_equivalente_ars</t>
        </is>
      </c>
      <c r="B14" s="32" t="inlineStr">
        <is>
          <t>Saldo pendiente expresado en ARS</t>
        </is>
      </c>
      <c r="C14" s="32" t="inlineStr">
        <is>
          <t>Fórmula</t>
        </is>
      </c>
    </row>
    <row r="15">
      <c r="A15" s="32" t="inlineStr">
        <is>
          <t>estado</t>
        </is>
      </c>
      <c r="B15" s="32" t="inlineStr">
        <is>
          <t>Estado de cobranza según saldo, pago y vencimiento</t>
        </is>
      </c>
      <c r="C15" s="32" t="inlineStr">
        <is>
          <t>Fórmula</t>
        </is>
      </c>
    </row>
    <row r="16">
      <c r="A16" s="32" t="inlineStr">
        <is>
          <t>dias_atraso</t>
        </is>
      </c>
      <c r="B16" s="32" t="inlineStr">
        <is>
          <t>Días de atraso según fecha de análisis</t>
        </is>
      </c>
      <c r="C16" s="32" t="inlineStr">
        <is>
          <t>Fórmula</t>
        </is>
      </c>
    </row>
    <row r="17">
      <c r="A17" s="32" t="inlineStr">
        <is>
          <t>prioridad_cobranza</t>
        </is>
      </c>
      <c r="B17" s="32" t="inlineStr">
        <is>
          <t>Priorización sugerida para la gestión</t>
        </is>
      </c>
      <c r="C17" s="32" t="inlineStr">
        <is>
          <t>Fórmula</t>
        </is>
      </c>
    </row>
    <row r="18">
      <c r="A18" s="32" t="inlineStr">
        <is>
          <t>proxima_accion</t>
        </is>
      </c>
      <c r="B18" s="32" t="inlineStr">
        <is>
          <t>Acción sugerida o pendiente</t>
        </is>
      </c>
      <c r="C18" s="32" t="inlineStr">
        <is>
          <t>Texto</t>
        </is>
      </c>
    </row>
    <row r="19">
      <c r="A19" s="32" t="inlineStr">
        <is>
          <t>mes_emision</t>
        </is>
      </c>
      <c r="B19" s="32" t="inlineStr">
        <is>
          <t>Primer día del mes de emisión para análisis mensual</t>
        </is>
      </c>
      <c r="C19" s="32" t="inlineStr">
        <is>
          <t>Fórmula</t>
        </is>
      </c>
    </row>
    <row r="20">
      <c r="A20" s="32" t="inlineStr">
        <is>
          <t>vencida_si_no</t>
        </is>
      </c>
      <c r="B20" s="32" t="inlineStr">
        <is>
          <t>Marca facturas vencidas con saldo pendiente</t>
        </is>
      </c>
      <c r="C20" s="32" t="inlineStr">
        <is>
          <t>Fórmula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:B1"/>
    </sheetView>
  </sheetViews>
  <sheetFormatPr baseColWidth="10" defaultColWidth="9" defaultRowHeight="13.5"/>
  <cols>
    <col width="14.25" customWidth="1" style="29" min="1" max="1"/>
    <col width="77.5" customWidth="1" style="29" min="2" max="2"/>
  </cols>
  <sheetData>
    <row r="1" ht="14.65" customHeight="1" s="29">
      <c r="A1" s="31" t="inlineStr">
        <is>
          <t>Portfolio · Dashboard de cobranzas y facturación</t>
        </is>
      </c>
    </row>
    <row r="2">
      <c r="A2" s="32" t="n"/>
      <c r="B2" s="32" t="n"/>
    </row>
    <row r="3" ht="13.9" customHeight="1" s="29">
      <c r="A3" s="10" t="inlineStr">
        <is>
          <t>Objetivo</t>
        </is>
      </c>
      <c r="B3" s="32" t="inlineStr">
        <is>
          <t>Dataset ficticio para construir un dashboard de cobranzas y facturación orientado a PyMEs.</t>
        </is>
      </c>
    </row>
    <row r="4" ht="13.9" customHeight="1" s="29">
      <c r="A4" s="10" t="inlineStr">
        <is>
          <t>Alcance</t>
        </is>
      </c>
      <c r="B4" s="32" t="inlineStr">
        <is>
          <t>Últimos 12 meses móviles, clientes del mismo tipo, facturación en ARS y USD.</t>
        </is>
      </c>
    </row>
    <row r="5" ht="27.4" customHeight="1" s="29">
      <c r="A5" s="10" t="inlineStr">
        <is>
          <t>Flujo sugerido</t>
        </is>
      </c>
      <c r="B5" s="32" t="inlineStr">
        <is>
          <t>Python genera/enriquece datos → Excel revisa base → Power BI visualiza → Notion documenta el caso.</t>
        </is>
      </c>
    </row>
    <row r="6" ht="27.75" customHeight="1" s="29">
      <c r="A6" s="10" t="inlineStr">
        <is>
          <t>Fecha de análisis</t>
        </is>
      </c>
      <c r="B6" s="32" t="inlineStr">
        <is>
          <t>2026-07-01</t>
        </is>
      </c>
    </row>
    <row r="7" ht="13.9" customHeight="1" s="29">
      <c r="A7" s="10" t="inlineStr">
        <is>
          <t>Hojas incluidas</t>
        </is>
      </c>
      <c r="B7" s="32" t="inlineStr">
        <is>
          <t>Resumen, Facturas, Clientes, Servicios, Tipo_Cambio, Diccionario.</t>
        </is>
      </c>
    </row>
    <row r="8" ht="13.9" customHeight="1" s="29">
      <c r="A8" s="10" t="inlineStr">
        <is>
          <t>Nota</t>
        </is>
      </c>
      <c r="B8" s="32" t="inlineStr">
        <is>
          <t>Todos los datos son ficticios y fueron generados para uso de portfolio.</t>
        </is>
      </c>
    </row>
    <row r="10" ht="13.9" customHeight="1" s="29">
      <c r="A10" s="14" t="inlineStr">
        <is>
          <t>Mejoras aplicadas</t>
        </is>
      </c>
      <c r="B10" t="inlineStr">
        <is>
          <t>Clientes y Servicios ahora se alimentan automáticamente desde Facturas con fórmulas.</t>
        </is>
      </c>
    </row>
    <row r="11" ht="13.9" customHeight="1" s="29">
      <c r="A11" s="14" t="inlineStr">
        <is>
          <t>Selector de cliente</t>
        </is>
      </c>
      <c r="B11" t="inlineStr">
        <is>
          <t>En Clientes!I3 hay un desplegable por nombre de cliente con resumen automático de deuda y actividad.</t>
        </is>
      </c>
    </row>
    <row r="12" ht="13.9" customHeight="1" s="29">
      <c r="A12" s="14" t="inlineStr">
        <is>
          <t>TopClientesTable</t>
        </is>
      </c>
      <c r="B12" t="inlineStr">
        <is>
          <t>En Resumen se agregó una nota de origen: sale de Facturas agrupadas por cliente.</t>
        </is>
      </c>
    </row>
    <row r="13" ht="13.9" customHeight="1" s="29">
      <c r="A13" s="14" t="inlineStr">
        <is>
          <t>MVP</t>
        </is>
      </c>
      <c r="B13" t="inlineStr">
        <is>
          <t>Se mantiene un solo tipo de cliente para claridad; multi-rubro queda como mejora futura.</t>
        </is>
      </c>
    </row>
    <row r="14" ht="13.9" customHeight="1" s="29">
      <c r="A14" s="14" t="inlineStr">
        <is>
          <t>Bimoneda</t>
        </is>
      </c>
      <c r="B14" t="inlineStr">
        <is>
          <t>El dataset conserva ARS y USD con equivalentes en ARS.</t>
        </is>
      </c>
    </row>
    <row r="15" ht="13.9" customHeight="1" s="29">
      <c r="A15" s="14" t="inlineStr">
        <is>
          <t>Flujo</t>
        </is>
      </c>
      <c r="B15" t="inlineStr">
        <is>
          <t>Python/Excel como base de datos, y luego conexión a Power BI.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2026-07-01T17:35:02Z</dcterms:created>
  <dcterms:modified xsi:type="dcterms:W3CDTF">2026-07-19T16:07:37Z</dcterms:modified>
  <cp:lastModifiedBy>Matias Noero</cp:lastModifiedBy>
</cp:coreProperties>
</file>