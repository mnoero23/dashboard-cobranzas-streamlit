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0656f6371218cecc/PERSONAL/1. JOB/PORTFOLIO/"/>
    </mc:Choice>
  </mc:AlternateContent>
  <xr:revisionPtr revIDLastSave="72" documentId="8_{9294F735-F9F2-49AC-95C1-47249FC7CDAE}" xr6:coauthVersionLast="47" xr6:coauthVersionMax="47" xr10:uidLastSave="{4463E63F-B96C-4155-B54E-8EE24083C6FD}"/>
  <bookViews>
    <workbookView xWindow="-98" yWindow="-98" windowWidth="21795" windowHeight="12975" activeTab="1" xr2:uid="{00000000-000D-0000-FFFF-FFFF00000000}"/>
  </bookViews>
  <sheets>
    <sheet name="Resumen" sheetId="1" r:id="rId1"/>
    <sheet name="Facturas" sheetId="2" r:id="rId2"/>
    <sheet name="Clientes" sheetId="3" r:id="rId3"/>
    <sheet name="Servicios" sheetId="4" r:id="rId4"/>
    <sheet name="Tipo_Cambio" sheetId="5" r:id="rId5"/>
    <sheet name="Diccionario" sheetId="6" r:id="rId6"/>
    <sheet name="README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" i="3"/>
  <c r="J17" i="1"/>
  <c r="J18" i="1"/>
  <c r="J19" i="1"/>
  <c r="J20" i="1"/>
  <c r="J21" i="1"/>
  <c r="J22" i="1"/>
  <c r="J23" i="1"/>
  <c r="J24" i="1"/>
  <c r="J25" i="1"/>
  <c r="J16" i="1"/>
  <c r="I17" i="1"/>
  <c r="I18" i="1"/>
  <c r="I19" i="1"/>
  <c r="I20" i="1"/>
  <c r="I21" i="1"/>
  <c r="I22" i="1"/>
  <c r="I23" i="1"/>
  <c r="I24" i="1"/>
  <c r="I25" i="1"/>
  <c r="I16" i="1"/>
  <c r="G3" i="4" l="1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2" i="4"/>
  <c r="E17" i="1"/>
  <c r="E18" i="1"/>
  <c r="E19" i="1"/>
  <c r="E20" i="1"/>
  <c r="E21" i="1"/>
  <c r="E22" i="1"/>
  <c r="E23" i="1"/>
  <c r="E24" i="1"/>
  <c r="E25" i="1"/>
  <c r="E26" i="1"/>
  <c r="E27" i="1"/>
  <c r="E16" i="1"/>
  <c r="D17" i="1"/>
  <c r="D18" i="1"/>
  <c r="D19" i="1"/>
  <c r="D20" i="1"/>
  <c r="D21" i="1"/>
  <c r="D22" i="1"/>
  <c r="D23" i="1"/>
  <c r="D24" i="1"/>
  <c r="D25" i="1"/>
  <c r="D26" i="1"/>
  <c r="D27" i="1"/>
  <c r="D16" i="1"/>
  <c r="C17" i="1"/>
  <c r="C18" i="1"/>
  <c r="C19" i="1"/>
  <c r="C20" i="1"/>
  <c r="C21" i="1"/>
  <c r="C22" i="1"/>
  <c r="C23" i="1"/>
  <c r="C24" i="1"/>
  <c r="C25" i="1"/>
  <c r="C26" i="1"/>
  <c r="C27" i="1"/>
  <c r="C16" i="1"/>
  <c r="B18" i="1"/>
  <c r="B19" i="1"/>
  <c r="B20" i="1"/>
  <c r="B21" i="1"/>
  <c r="B22" i="1"/>
  <c r="B23" i="1"/>
  <c r="B24" i="1"/>
  <c r="B25" i="1"/>
  <c r="B26" i="1"/>
  <c r="B27" i="1"/>
  <c r="B17" i="1"/>
  <c r="B16" i="1"/>
  <c r="B6" i="1"/>
  <c r="B12" i="1"/>
  <c r="B11" i="1"/>
  <c r="B10" i="1"/>
  <c r="B9" i="1"/>
  <c r="B8" i="1"/>
  <c r="B7" i="1"/>
  <c r="B5" i="1"/>
  <c r="H17" i="1"/>
  <c r="H18" i="1"/>
  <c r="H19" i="1"/>
  <c r="H20" i="1"/>
  <c r="H21" i="1"/>
  <c r="H22" i="1"/>
  <c r="H23" i="1"/>
  <c r="H24" i="1"/>
  <c r="H25" i="1"/>
  <c r="H16" i="1"/>
  <c r="A2" i="4" a="1"/>
  <c r="A2" i="4" s="1"/>
  <c r="A2" i="3" a="1"/>
  <c r="A2" i="3" s="1"/>
  <c r="H18" i="4"/>
  <c r="H17" i="4"/>
  <c r="H16" i="4"/>
  <c r="H15" i="4"/>
  <c r="H14" i="4"/>
  <c r="H13" i="4"/>
  <c r="H12" i="4"/>
  <c r="H11" i="4"/>
  <c r="H10" i="4"/>
  <c r="H9" i="4"/>
  <c r="H8" i="4"/>
  <c r="H7" i="4"/>
  <c r="AB237" i="2"/>
  <c r="AA237" i="2"/>
  <c r="X237" i="2"/>
  <c r="W237" i="2"/>
  <c r="Q237" i="2"/>
  <c r="P237" i="2"/>
  <c r="O237" i="2"/>
  <c r="M237" i="2"/>
  <c r="Z237" i="2" s="1"/>
  <c r="AB236" i="2"/>
  <c r="AA236" i="2"/>
  <c r="X236" i="2"/>
  <c r="W236" i="2"/>
  <c r="Q236" i="2"/>
  <c r="P236" i="2"/>
  <c r="O236" i="2"/>
  <c r="M236" i="2"/>
  <c r="Z236" i="2" s="1"/>
  <c r="AB235" i="2"/>
  <c r="X235" i="2"/>
  <c r="W235" i="2"/>
  <c r="O235" i="2"/>
  <c r="M235" i="2"/>
  <c r="P235" i="2" s="1"/>
  <c r="AB234" i="2"/>
  <c r="X234" i="2"/>
  <c r="W234" i="2"/>
  <c r="Q234" i="2"/>
  <c r="O234" i="2"/>
  <c r="M234" i="2"/>
  <c r="AA234" i="2" s="1"/>
  <c r="AB233" i="2"/>
  <c r="X233" i="2"/>
  <c r="W233" i="2"/>
  <c r="Q233" i="2"/>
  <c r="P233" i="2"/>
  <c r="O233" i="2"/>
  <c r="M233" i="2"/>
  <c r="Z233" i="2" s="1"/>
  <c r="AB232" i="2"/>
  <c r="AA232" i="2"/>
  <c r="X232" i="2"/>
  <c r="W232" i="2"/>
  <c r="Q232" i="2"/>
  <c r="P232" i="2"/>
  <c r="O232" i="2"/>
  <c r="M232" i="2"/>
  <c r="Z232" i="2" s="1"/>
  <c r="AB231" i="2"/>
  <c r="X231" i="2"/>
  <c r="W231" i="2"/>
  <c r="O231" i="2"/>
  <c r="M231" i="2"/>
  <c r="P231" i="2" s="1"/>
  <c r="AB230" i="2"/>
  <c r="X230" i="2"/>
  <c r="W230" i="2"/>
  <c r="Q230" i="2"/>
  <c r="O230" i="2"/>
  <c r="M230" i="2"/>
  <c r="AA230" i="2" s="1"/>
  <c r="AB229" i="2"/>
  <c r="X229" i="2"/>
  <c r="W229" i="2"/>
  <c r="Q229" i="2"/>
  <c r="P229" i="2"/>
  <c r="O229" i="2"/>
  <c r="M229" i="2"/>
  <c r="Z229" i="2" s="1"/>
  <c r="AB228" i="2"/>
  <c r="AA228" i="2"/>
  <c r="X228" i="2"/>
  <c r="W228" i="2"/>
  <c r="Q228" i="2"/>
  <c r="P228" i="2"/>
  <c r="O228" i="2"/>
  <c r="M228" i="2"/>
  <c r="Z228" i="2" s="1"/>
  <c r="AB227" i="2"/>
  <c r="AA227" i="2"/>
  <c r="X227" i="2"/>
  <c r="W227" i="2"/>
  <c r="O227" i="2"/>
  <c r="M227" i="2"/>
  <c r="P227" i="2" s="1"/>
  <c r="AB226" i="2"/>
  <c r="X226" i="2"/>
  <c r="W226" i="2"/>
  <c r="P226" i="2"/>
  <c r="O226" i="2"/>
  <c r="M226" i="2"/>
  <c r="AA226" i="2" s="1"/>
  <c r="AB225" i="2"/>
  <c r="AA225" i="2"/>
  <c r="X225" i="2"/>
  <c r="W225" i="2"/>
  <c r="Q225" i="2"/>
  <c r="P225" i="2"/>
  <c r="O225" i="2"/>
  <c r="M225" i="2"/>
  <c r="Z225" i="2" s="1"/>
  <c r="AB224" i="2"/>
  <c r="X224" i="2"/>
  <c r="W224" i="2"/>
  <c r="O224" i="2"/>
  <c r="M224" i="2"/>
  <c r="Q224" i="2" s="1"/>
  <c r="AB223" i="2"/>
  <c r="AA223" i="2"/>
  <c r="X223" i="2"/>
  <c r="W223" i="2"/>
  <c r="Q223" i="2"/>
  <c r="P223" i="2"/>
  <c r="O223" i="2"/>
  <c r="M223" i="2"/>
  <c r="Z223" i="2" s="1"/>
  <c r="AB222" i="2"/>
  <c r="X222" i="2"/>
  <c r="W222" i="2"/>
  <c r="P222" i="2"/>
  <c r="O222" i="2"/>
  <c r="M222" i="2"/>
  <c r="AA222" i="2" s="1"/>
  <c r="AB221" i="2"/>
  <c r="AA221" i="2"/>
  <c r="X221" i="2"/>
  <c r="W221" i="2"/>
  <c r="Q221" i="2"/>
  <c r="P221" i="2"/>
  <c r="O221" i="2"/>
  <c r="M221" i="2"/>
  <c r="Z221" i="2" s="1"/>
  <c r="AB220" i="2"/>
  <c r="X220" i="2"/>
  <c r="W220" i="2"/>
  <c r="O220" i="2"/>
  <c r="M220" i="2"/>
  <c r="Q220" i="2" s="1"/>
  <c r="AB219" i="2"/>
  <c r="AA219" i="2"/>
  <c r="X219" i="2"/>
  <c r="W219" i="2"/>
  <c r="Q219" i="2"/>
  <c r="P219" i="2"/>
  <c r="O219" i="2"/>
  <c r="M219" i="2"/>
  <c r="Z219" i="2" s="1"/>
  <c r="AB218" i="2"/>
  <c r="X218" i="2"/>
  <c r="W218" i="2"/>
  <c r="P218" i="2"/>
  <c r="O218" i="2"/>
  <c r="M218" i="2"/>
  <c r="AA218" i="2" s="1"/>
  <c r="AB217" i="2"/>
  <c r="AA217" i="2"/>
  <c r="X217" i="2"/>
  <c r="W217" i="2"/>
  <c r="Q217" i="2"/>
  <c r="P217" i="2"/>
  <c r="O217" i="2"/>
  <c r="M217" i="2"/>
  <c r="Z217" i="2" s="1"/>
  <c r="AB216" i="2"/>
  <c r="X216" i="2"/>
  <c r="W216" i="2"/>
  <c r="O216" i="2"/>
  <c r="M216" i="2"/>
  <c r="Q216" i="2" s="1"/>
  <c r="AB215" i="2"/>
  <c r="AA215" i="2"/>
  <c r="X215" i="2"/>
  <c r="W215" i="2"/>
  <c r="Q215" i="2"/>
  <c r="P215" i="2"/>
  <c r="O215" i="2"/>
  <c r="M215" i="2"/>
  <c r="Z215" i="2" s="1"/>
  <c r="AB214" i="2"/>
  <c r="X214" i="2"/>
  <c r="W214" i="2"/>
  <c r="P214" i="2"/>
  <c r="O214" i="2"/>
  <c r="M214" i="2"/>
  <c r="AA214" i="2" s="1"/>
  <c r="AB213" i="2"/>
  <c r="AA213" i="2"/>
  <c r="X213" i="2"/>
  <c r="W213" i="2"/>
  <c r="Q213" i="2"/>
  <c r="P213" i="2"/>
  <c r="O213" i="2"/>
  <c r="M213" i="2"/>
  <c r="Z213" i="2" s="1"/>
  <c r="AB212" i="2"/>
  <c r="X212" i="2"/>
  <c r="W212" i="2"/>
  <c r="O212" i="2"/>
  <c r="M212" i="2"/>
  <c r="Q212" i="2" s="1"/>
  <c r="AB211" i="2"/>
  <c r="AA211" i="2"/>
  <c r="X211" i="2"/>
  <c r="W211" i="2"/>
  <c r="Q211" i="2"/>
  <c r="P211" i="2"/>
  <c r="O211" i="2"/>
  <c r="M211" i="2"/>
  <c r="Z211" i="2" s="1"/>
  <c r="AB210" i="2"/>
  <c r="X210" i="2"/>
  <c r="W210" i="2"/>
  <c r="P210" i="2"/>
  <c r="O210" i="2"/>
  <c r="M210" i="2"/>
  <c r="AA210" i="2" s="1"/>
  <c r="AB209" i="2"/>
  <c r="AA209" i="2"/>
  <c r="X209" i="2"/>
  <c r="W209" i="2"/>
  <c r="Q209" i="2"/>
  <c r="P209" i="2"/>
  <c r="O209" i="2"/>
  <c r="M209" i="2"/>
  <c r="Z209" i="2" s="1"/>
  <c r="AB208" i="2"/>
  <c r="X208" i="2"/>
  <c r="W208" i="2"/>
  <c r="O208" i="2"/>
  <c r="M208" i="2"/>
  <c r="Q208" i="2" s="1"/>
  <c r="AB207" i="2"/>
  <c r="AA207" i="2"/>
  <c r="X207" i="2"/>
  <c r="W207" i="2"/>
  <c r="Q207" i="2"/>
  <c r="P207" i="2"/>
  <c r="O207" i="2"/>
  <c r="M207" i="2"/>
  <c r="Z207" i="2" s="1"/>
  <c r="AB206" i="2"/>
  <c r="X206" i="2"/>
  <c r="W206" i="2"/>
  <c r="P206" i="2"/>
  <c r="O206" i="2"/>
  <c r="M206" i="2"/>
  <c r="AA206" i="2" s="1"/>
  <c r="AB205" i="2"/>
  <c r="AA205" i="2"/>
  <c r="X205" i="2"/>
  <c r="W205" i="2"/>
  <c r="S205" i="2"/>
  <c r="Q205" i="2"/>
  <c r="P205" i="2"/>
  <c r="O205" i="2"/>
  <c r="M205" i="2"/>
  <c r="Z205" i="2" s="1"/>
  <c r="AB204" i="2"/>
  <c r="X204" i="2"/>
  <c r="W204" i="2"/>
  <c r="O204" i="2"/>
  <c r="M204" i="2"/>
  <c r="Q204" i="2" s="1"/>
  <c r="AB203" i="2"/>
  <c r="AA203" i="2"/>
  <c r="X203" i="2"/>
  <c r="W203" i="2"/>
  <c r="S203" i="2"/>
  <c r="Q203" i="2"/>
  <c r="O203" i="2"/>
  <c r="M203" i="2"/>
  <c r="P203" i="2" s="1"/>
  <c r="AB202" i="2"/>
  <c r="X202" i="2"/>
  <c r="W202" i="2"/>
  <c r="P202" i="2"/>
  <c r="O202" i="2"/>
  <c r="M202" i="2"/>
  <c r="AA202" i="2" s="1"/>
  <c r="AB201" i="2"/>
  <c r="AA201" i="2"/>
  <c r="X201" i="2"/>
  <c r="W201" i="2"/>
  <c r="S201" i="2"/>
  <c r="Q201" i="2"/>
  <c r="P201" i="2"/>
  <c r="O201" i="2"/>
  <c r="M201" i="2"/>
  <c r="Z201" i="2" s="1"/>
  <c r="AB200" i="2"/>
  <c r="X200" i="2"/>
  <c r="W200" i="2"/>
  <c r="O200" i="2"/>
  <c r="M200" i="2"/>
  <c r="Q200" i="2" s="1"/>
  <c r="AB199" i="2"/>
  <c r="AA199" i="2"/>
  <c r="X199" i="2"/>
  <c r="W199" i="2"/>
  <c r="Q199" i="2"/>
  <c r="O199" i="2"/>
  <c r="M199" i="2"/>
  <c r="P199" i="2" s="1"/>
  <c r="AB198" i="2"/>
  <c r="X198" i="2"/>
  <c r="W198" i="2"/>
  <c r="P198" i="2"/>
  <c r="O198" i="2"/>
  <c r="M198" i="2"/>
  <c r="AA198" i="2" s="1"/>
  <c r="AB197" i="2"/>
  <c r="AA197" i="2"/>
  <c r="X197" i="2"/>
  <c r="W197" i="2"/>
  <c r="Q197" i="2"/>
  <c r="P197" i="2"/>
  <c r="O197" i="2"/>
  <c r="M197" i="2"/>
  <c r="Z197" i="2" s="1"/>
  <c r="AB196" i="2"/>
  <c r="X196" i="2"/>
  <c r="W196" i="2"/>
  <c r="O196" i="2"/>
  <c r="M196" i="2"/>
  <c r="Q196" i="2" s="1"/>
  <c r="AB195" i="2"/>
  <c r="AA195" i="2"/>
  <c r="X195" i="2"/>
  <c r="W195" i="2"/>
  <c r="Q195" i="2"/>
  <c r="O195" i="2"/>
  <c r="M195" i="2"/>
  <c r="P195" i="2" s="1"/>
  <c r="AB194" i="2"/>
  <c r="X194" i="2"/>
  <c r="W194" i="2"/>
  <c r="P194" i="2"/>
  <c r="O194" i="2"/>
  <c r="M194" i="2"/>
  <c r="AA194" i="2" s="1"/>
  <c r="AB193" i="2"/>
  <c r="AA193" i="2"/>
  <c r="X193" i="2"/>
  <c r="W193" i="2"/>
  <c r="S193" i="2"/>
  <c r="Q193" i="2"/>
  <c r="P193" i="2"/>
  <c r="O193" i="2"/>
  <c r="M193" i="2"/>
  <c r="Z193" i="2" s="1"/>
  <c r="AB192" i="2"/>
  <c r="X192" i="2"/>
  <c r="W192" i="2"/>
  <c r="O192" i="2"/>
  <c r="M192" i="2"/>
  <c r="Q192" i="2" s="1"/>
  <c r="AB191" i="2"/>
  <c r="AA191" i="2"/>
  <c r="X191" i="2"/>
  <c r="W191" i="2"/>
  <c r="Q191" i="2"/>
  <c r="O191" i="2"/>
  <c r="M191" i="2"/>
  <c r="P191" i="2" s="1"/>
  <c r="AB190" i="2"/>
  <c r="X190" i="2"/>
  <c r="W190" i="2"/>
  <c r="P190" i="2"/>
  <c r="O190" i="2"/>
  <c r="M190" i="2"/>
  <c r="AA190" i="2" s="1"/>
  <c r="AB189" i="2"/>
  <c r="AA189" i="2"/>
  <c r="X189" i="2"/>
  <c r="W189" i="2"/>
  <c r="Q189" i="2"/>
  <c r="P189" i="2"/>
  <c r="O189" i="2"/>
  <c r="M189" i="2"/>
  <c r="Z189" i="2" s="1"/>
  <c r="AB188" i="2"/>
  <c r="X188" i="2"/>
  <c r="W188" i="2"/>
  <c r="O188" i="2"/>
  <c r="M188" i="2"/>
  <c r="AB187" i="2"/>
  <c r="AA187" i="2"/>
  <c r="X187" i="2"/>
  <c r="W187" i="2"/>
  <c r="Q187" i="2"/>
  <c r="O187" i="2"/>
  <c r="M187" i="2"/>
  <c r="P187" i="2" s="1"/>
  <c r="AB186" i="2"/>
  <c r="X186" i="2"/>
  <c r="W186" i="2"/>
  <c r="P186" i="2"/>
  <c r="O186" i="2"/>
  <c r="M186" i="2"/>
  <c r="AA186" i="2" s="1"/>
  <c r="AB185" i="2"/>
  <c r="AA185" i="2"/>
  <c r="X185" i="2"/>
  <c r="W185" i="2"/>
  <c r="R185" i="2"/>
  <c r="O185" i="2"/>
  <c r="M185" i="2"/>
  <c r="AB184" i="2"/>
  <c r="Z184" i="2"/>
  <c r="X184" i="2"/>
  <c r="W184" i="2"/>
  <c r="Q184" i="2"/>
  <c r="O184" i="2"/>
  <c r="M184" i="2"/>
  <c r="R184" i="2" s="1"/>
  <c r="AB183" i="2"/>
  <c r="AA183" i="2"/>
  <c r="X183" i="2"/>
  <c r="W183" i="2"/>
  <c r="S183" i="2"/>
  <c r="Q183" i="2"/>
  <c r="P183" i="2"/>
  <c r="O183" i="2"/>
  <c r="M183" i="2"/>
  <c r="Z183" i="2" s="1"/>
  <c r="AB182" i="2"/>
  <c r="AA182" i="2"/>
  <c r="X182" i="2"/>
  <c r="W182" i="2"/>
  <c r="S182" i="2"/>
  <c r="P182" i="2"/>
  <c r="O182" i="2"/>
  <c r="M182" i="2"/>
  <c r="Z182" i="2" s="1"/>
  <c r="AB181" i="2"/>
  <c r="AA181" i="2"/>
  <c r="X181" i="2"/>
  <c r="W181" i="2"/>
  <c r="S181" i="2"/>
  <c r="O181" i="2"/>
  <c r="M181" i="2"/>
  <c r="AB180" i="2"/>
  <c r="X180" i="2"/>
  <c r="W180" i="2"/>
  <c r="R180" i="2"/>
  <c r="O180" i="2"/>
  <c r="M180" i="2"/>
  <c r="AB179" i="2"/>
  <c r="AA179" i="2"/>
  <c r="X179" i="2"/>
  <c r="W179" i="2"/>
  <c r="Q179" i="2"/>
  <c r="P179" i="2"/>
  <c r="O179" i="2"/>
  <c r="M179" i="2"/>
  <c r="Z179" i="2" s="1"/>
  <c r="AB178" i="2"/>
  <c r="AA178" i="2"/>
  <c r="X178" i="2"/>
  <c r="W178" i="2"/>
  <c r="S178" i="2"/>
  <c r="P178" i="2"/>
  <c r="O178" i="2"/>
  <c r="M178" i="2"/>
  <c r="Z178" i="2" s="1"/>
  <c r="AB177" i="2"/>
  <c r="X177" i="2"/>
  <c r="W177" i="2"/>
  <c r="O177" i="2"/>
  <c r="M177" i="2"/>
  <c r="AB176" i="2"/>
  <c r="X176" i="2"/>
  <c r="W176" i="2"/>
  <c r="Q176" i="2"/>
  <c r="O176" i="2"/>
  <c r="M176" i="2"/>
  <c r="Z176" i="2" s="1"/>
  <c r="AB175" i="2"/>
  <c r="Z175" i="2"/>
  <c r="X175" i="2"/>
  <c r="W175" i="2"/>
  <c r="Q175" i="2"/>
  <c r="P175" i="2"/>
  <c r="O175" i="2"/>
  <c r="M175" i="2"/>
  <c r="AB174" i="2"/>
  <c r="AA174" i="2"/>
  <c r="X174" i="2"/>
  <c r="W174" i="2"/>
  <c r="S174" i="2"/>
  <c r="Q174" i="2"/>
  <c r="P174" i="2"/>
  <c r="O174" i="2"/>
  <c r="M174" i="2"/>
  <c r="Z174" i="2" s="1"/>
  <c r="AB173" i="2"/>
  <c r="X173" i="2"/>
  <c r="W173" i="2"/>
  <c r="P173" i="2"/>
  <c r="O173" i="2"/>
  <c r="M173" i="2"/>
  <c r="Q173" i="2" s="1"/>
  <c r="AB172" i="2"/>
  <c r="Z172" i="2"/>
  <c r="X172" i="2"/>
  <c r="W172" i="2"/>
  <c r="R172" i="2"/>
  <c r="O172" i="2"/>
  <c r="M172" i="2"/>
  <c r="P172" i="2" s="1"/>
  <c r="AB171" i="2"/>
  <c r="X171" i="2"/>
  <c r="W171" i="2"/>
  <c r="R171" i="2"/>
  <c r="O171" i="2"/>
  <c r="M171" i="2"/>
  <c r="AB170" i="2"/>
  <c r="AA170" i="2"/>
  <c r="X170" i="2"/>
  <c r="W170" i="2"/>
  <c r="S170" i="2"/>
  <c r="Q170" i="2"/>
  <c r="P170" i="2"/>
  <c r="O170" i="2"/>
  <c r="M170" i="2"/>
  <c r="Z170" i="2" s="1"/>
  <c r="AB169" i="2"/>
  <c r="Z169" i="2"/>
  <c r="X169" i="2"/>
  <c r="W169" i="2"/>
  <c r="R169" i="2"/>
  <c r="O169" i="2"/>
  <c r="M169" i="2"/>
  <c r="Q169" i="2" s="1"/>
  <c r="AB168" i="2"/>
  <c r="X168" i="2"/>
  <c r="W168" i="2"/>
  <c r="Q168" i="2"/>
  <c r="O168" i="2"/>
  <c r="M168" i="2"/>
  <c r="P168" i="2" s="1"/>
  <c r="AB167" i="2"/>
  <c r="X167" i="2"/>
  <c r="W167" i="2"/>
  <c r="R167" i="2"/>
  <c r="O167" i="2"/>
  <c r="M167" i="2"/>
  <c r="AB166" i="2"/>
  <c r="X166" i="2"/>
  <c r="W166" i="2"/>
  <c r="Q166" i="2"/>
  <c r="O166" i="2"/>
  <c r="M166" i="2"/>
  <c r="P166" i="2" s="1"/>
  <c r="AB165" i="2"/>
  <c r="AA165" i="2"/>
  <c r="X165" i="2"/>
  <c r="W165" i="2"/>
  <c r="S165" i="2"/>
  <c r="Q165" i="2"/>
  <c r="P165" i="2"/>
  <c r="O165" i="2"/>
  <c r="M165" i="2"/>
  <c r="Z165" i="2" s="1"/>
  <c r="AB164" i="2"/>
  <c r="AA164" i="2"/>
  <c r="X164" i="2"/>
  <c r="W164" i="2"/>
  <c r="S164" i="2"/>
  <c r="P164" i="2"/>
  <c r="O164" i="2"/>
  <c r="M164" i="2"/>
  <c r="Z164" i="2" s="1"/>
  <c r="AB163" i="2"/>
  <c r="X163" i="2"/>
  <c r="W163" i="2"/>
  <c r="O163" i="2"/>
  <c r="M163" i="2"/>
  <c r="AB162" i="2"/>
  <c r="X162" i="2"/>
  <c r="W162" i="2"/>
  <c r="Q162" i="2"/>
  <c r="O162" i="2"/>
  <c r="M162" i="2"/>
  <c r="P162" i="2" s="1"/>
  <c r="AB161" i="2"/>
  <c r="AA161" i="2"/>
  <c r="X161" i="2"/>
  <c r="W161" i="2"/>
  <c r="Q161" i="2"/>
  <c r="P161" i="2"/>
  <c r="O161" i="2"/>
  <c r="M161" i="2"/>
  <c r="Z161" i="2" s="1"/>
  <c r="AB160" i="2"/>
  <c r="AA160" i="2"/>
  <c r="X160" i="2"/>
  <c r="W160" i="2"/>
  <c r="S160" i="2"/>
  <c r="P160" i="2"/>
  <c r="O160" i="2"/>
  <c r="M160" i="2"/>
  <c r="Z160" i="2" s="1"/>
  <c r="AB159" i="2"/>
  <c r="Z159" i="2"/>
  <c r="X159" i="2"/>
  <c r="W159" i="2"/>
  <c r="R159" i="2"/>
  <c r="O159" i="2"/>
  <c r="M159" i="2"/>
  <c r="AB158" i="2"/>
  <c r="X158" i="2"/>
  <c r="W158" i="2"/>
  <c r="Q158" i="2"/>
  <c r="O158" i="2"/>
  <c r="M158" i="2"/>
  <c r="P158" i="2" s="1"/>
  <c r="AB157" i="2"/>
  <c r="AA157" i="2"/>
  <c r="X157" i="2"/>
  <c r="W157" i="2"/>
  <c r="S157" i="2"/>
  <c r="Q157" i="2"/>
  <c r="P157" i="2"/>
  <c r="O157" i="2"/>
  <c r="M157" i="2"/>
  <c r="Z157" i="2" s="1"/>
  <c r="AB156" i="2"/>
  <c r="AA156" i="2"/>
  <c r="X156" i="2"/>
  <c r="W156" i="2"/>
  <c r="S156" i="2"/>
  <c r="P156" i="2"/>
  <c r="O156" i="2"/>
  <c r="M156" i="2"/>
  <c r="Z156" i="2" s="1"/>
  <c r="AB155" i="2"/>
  <c r="X155" i="2"/>
  <c r="W155" i="2"/>
  <c r="O155" i="2"/>
  <c r="M155" i="2"/>
  <c r="AB154" i="2"/>
  <c r="X154" i="2"/>
  <c r="W154" i="2"/>
  <c r="O154" i="2"/>
  <c r="M154" i="2"/>
  <c r="AB153" i="2"/>
  <c r="AA153" i="2"/>
  <c r="X153" i="2"/>
  <c r="W153" i="2"/>
  <c r="S153" i="2"/>
  <c r="Q153" i="2"/>
  <c r="P153" i="2"/>
  <c r="O153" i="2"/>
  <c r="M153" i="2"/>
  <c r="Z153" i="2" s="1"/>
  <c r="AB152" i="2"/>
  <c r="AA152" i="2"/>
  <c r="X152" i="2"/>
  <c r="W152" i="2"/>
  <c r="S152" i="2"/>
  <c r="P152" i="2"/>
  <c r="O152" i="2"/>
  <c r="M152" i="2"/>
  <c r="Z152" i="2" s="1"/>
  <c r="AB151" i="2"/>
  <c r="AA151" i="2"/>
  <c r="Z151" i="2"/>
  <c r="X151" i="2"/>
  <c r="W151" i="2"/>
  <c r="R151" i="2"/>
  <c r="S151" i="2" s="1"/>
  <c r="O151" i="2"/>
  <c r="M151" i="2"/>
  <c r="AB150" i="2"/>
  <c r="Z150" i="2"/>
  <c r="X150" i="2"/>
  <c r="W150" i="2"/>
  <c r="R150" i="2"/>
  <c r="Q150" i="2"/>
  <c r="O150" i="2"/>
  <c r="M150" i="2"/>
  <c r="AB149" i="2"/>
  <c r="AA149" i="2"/>
  <c r="X149" i="2"/>
  <c r="W149" i="2"/>
  <c r="Q149" i="2"/>
  <c r="P149" i="2"/>
  <c r="O149" i="2"/>
  <c r="M149" i="2"/>
  <c r="Z149" i="2" s="1"/>
  <c r="AB148" i="2"/>
  <c r="AA148" i="2"/>
  <c r="X148" i="2"/>
  <c r="W148" i="2"/>
  <c r="S148" i="2"/>
  <c r="P148" i="2"/>
  <c r="O148" i="2"/>
  <c r="M148" i="2"/>
  <c r="Z148" i="2" s="1"/>
  <c r="AB147" i="2"/>
  <c r="AA147" i="2"/>
  <c r="X147" i="2"/>
  <c r="W147" i="2"/>
  <c r="S147" i="2"/>
  <c r="O147" i="2"/>
  <c r="M147" i="2"/>
  <c r="AB146" i="2"/>
  <c r="X146" i="2"/>
  <c r="W146" i="2"/>
  <c r="R146" i="2"/>
  <c r="O146" i="2"/>
  <c r="M146" i="2"/>
  <c r="AB145" i="2"/>
  <c r="AA145" i="2"/>
  <c r="X145" i="2"/>
  <c r="W145" i="2"/>
  <c r="S145" i="2"/>
  <c r="Q145" i="2"/>
  <c r="P145" i="2"/>
  <c r="O145" i="2"/>
  <c r="M145" i="2"/>
  <c r="Z145" i="2" s="1"/>
  <c r="AB144" i="2"/>
  <c r="AA144" i="2"/>
  <c r="X144" i="2"/>
  <c r="W144" i="2"/>
  <c r="S144" i="2"/>
  <c r="P144" i="2"/>
  <c r="O144" i="2"/>
  <c r="M144" i="2"/>
  <c r="Z144" i="2" s="1"/>
  <c r="AB143" i="2"/>
  <c r="Z143" i="2"/>
  <c r="X143" i="2"/>
  <c r="W143" i="2"/>
  <c r="R143" i="2"/>
  <c r="O143" i="2"/>
  <c r="M143" i="2"/>
  <c r="AA143" i="2" s="1"/>
  <c r="AB142" i="2"/>
  <c r="Z142" i="2"/>
  <c r="X142" i="2"/>
  <c r="W142" i="2"/>
  <c r="Q142" i="2"/>
  <c r="O142" i="2"/>
  <c r="M142" i="2"/>
  <c r="R142" i="2" s="1"/>
  <c r="AB141" i="2"/>
  <c r="AA141" i="2"/>
  <c r="X141" i="2"/>
  <c r="W141" i="2"/>
  <c r="S141" i="2"/>
  <c r="Q141" i="2"/>
  <c r="P141" i="2"/>
  <c r="O141" i="2"/>
  <c r="M141" i="2"/>
  <c r="Z141" i="2" s="1"/>
  <c r="AB140" i="2"/>
  <c r="AA140" i="2"/>
  <c r="X140" i="2"/>
  <c r="W140" i="2"/>
  <c r="S140" i="2"/>
  <c r="P140" i="2"/>
  <c r="O140" i="2"/>
  <c r="M140" i="2"/>
  <c r="Z140" i="2" s="1"/>
  <c r="AB139" i="2"/>
  <c r="AA139" i="2"/>
  <c r="X139" i="2"/>
  <c r="W139" i="2"/>
  <c r="S139" i="2"/>
  <c r="O139" i="2"/>
  <c r="M139" i="2"/>
  <c r="AB138" i="2"/>
  <c r="X138" i="2"/>
  <c r="W138" i="2"/>
  <c r="R138" i="2"/>
  <c r="O138" i="2"/>
  <c r="M138" i="2"/>
  <c r="AB137" i="2"/>
  <c r="AA137" i="2"/>
  <c r="X137" i="2"/>
  <c r="W137" i="2"/>
  <c r="S137" i="2"/>
  <c r="Q137" i="2"/>
  <c r="P137" i="2"/>
  <c r="O137" i="2"/>
  <c r="M137" i="2"/>
  <c r="Z137" i="2" s="1"/>
  <c r="AB136" i="2"/>
  <c r="AA136" i="2"/>
  <c r="X136" i="2"/>
  <c r="W136" i="2"/>
  <c r="S136" i="2"/>
  <c r="P136" i="2"/>
  <c r="O136" i="2"/>
  <c r="M136" i="2"/>
  <c r="Z136" i="2" s="1"/>
  <c r="AB135" i="2"/>
  <c r="Z135" i="2"/>
  <c r="X135" i="2"/>
  <c r="W135" i="2"/>
  <c r="R135" i="2"/>
  <c r="O135" i="2"/>
  <c r="M135" i="2"/>
  <c r="AA135" i="2" s="1"/>
  <c r="AB134" i="2"/>
  <c r="Z134" i="2"/>
  <c r="X134" i="2"/>
  <c r="W134" i="2"/>
  <c r="Q134" i="2"/>
  <c r="O134" i="2"/>
  <c r="M134" i="2"/>
  <c r="R134" i="2" s="1"/>
  <c r="AB133" i="2"/>
  <c r="AA133" i="2"/>
  <c r="X133" i="2"/>
  <c r="W133" i="2"/>
  <c r="Q133" i="2"/>
  <c r="P133" i="2"/>
  <c r="O133" i="2"/>
  <c r="M133" i="2"/>
  <c r="Z133" i="2" s="1"/>
  <c r="AB132" i="2"/>
  <c r="AA132" i="2"/>
  <c r="X132" i="2"/>
  <c r="W132" i="2"/>
  <c r="S132" i="2"/>
  <c r="P132" i="2"/>
  <c r="O132" i="2"/>
  <c r="M132" i="2"/>
  <c r="Z132" i="2" s="1"/>
  <c r="AB131" i="2"/>
  <c r="AA131" i="2"/>
  <c r="Z131" i="2"/>
  <c r="X131" i="2"/>
  <c r="W131" i="2"/>
  <c r="S131" i="2"/>
  <c r="R131" i="2"/>
  <c r="O131" i="2"/>
  <c r="M131" i="2"/>
  <c r="AB130" i="2"/>
  <c r="Z130" i="2"/>
  <c r="X130" i="2"/>
  <c r="W130" i="2"/>
  <c r="R130" i="2"/>
  <c r="Q130" i="2"/>
  <c r="O130" i="2"/>
  <c r="M130" i="2"/>
  <c r="AB129" i="2"/>
  <c r="AA129" i="2"/>
  <c r="X129" i="2"/>
  <c r="W129" i="2"/>
  <c r="S129" i="2"/>
  <c r="Q129" i="2"/>
  <c r="P129" i="2"/>
  <c r="O129" i="2"/>
  <c r="M129" i="2"/>
  <c r="Z129" i="2" s="1"/>
  <c r="AB128" i="2"/>
  <c r="AA128" i="2"/>
  <c r="X128" i="2"/>
  <c r="W128" i="2"/>
  <c r="S128" i="2"/>
  <c r="P128" i="2"/>
  <c r="O128" i="2"/>
  <c r="M128" i="2"/>
  <c r="Z128" i="2" s="1"/>
  <c r="AB127" i="2"/>
  <c r="X127" i="2"/>
  <c r="W127" i="2"/>
  <c r="O127" i="2"/>
  <c r="M127" i="2"/>
  <c r="AB126" i="2"/>
  <c r="X126" i="2"/>
  <c r="W126" i="2"/>
  <c r="O126" i="2"/>
  <c r="M126" i="2"/>
  <c r="AB125" i="2"/>
  <c r="AA125" i="2"/>
  <c r="X125" i="2"/>
  <c r="W125" i="2"/>
  <c r="S125" i="2"/>
  <c r="Q125" i="2"/>
  <c r="P125" i="2"/>
  <c r="O125" i="2"/>
  <c r="M125" i="2"/>
  <c r="Z125" i="2" s="1"/>
  <c r="AB124" i="2"/>
  <c r="AA124" i="2"/>
  <c r="X124" i="2"/>
  <c r="W124" i="2"/>
  <c r="P124" i="2"/>
  <c r="O124" i="2"/>
  <c r="M124" i="2"/>
  <c r="Z124" i="2" s="1"/>
  <c r="AB123" i="2"/>
  <c r="AA123" i="2"/>
  <c r="Z123" i="2"/>
  <c r="X123" i="2"/>
  <c r="W123" i="2"/>
  <c r="R123" i="2"/>
  <c r="S123" i="2" s="1"/>
  <c r="O123" i="2"/>
  <c r="M123" i="2"/>
  <c r="AB122" i="2"/>
  <c r="Z122" i="2"/>
  <c r="X122" i="2"/>
  <c r="W122" i="2"/>
  <c r="R122" i="2"/>
  <c r="Q122" i="2"/>
  <c r="O122" i="2"/>
  <c r="M122" i="2"/>
  <c r="AB121" i="2"/>
  <c r="AA121" i="2"/>
  <c r="X121" i="2"/>
  <c r="W121" i="2"/>
  <c r="S121" i="2"/>
  <c r="Q121" i="2"/>
  <c r="P121" i="2"/>
  <c r="O121" i="2"/>
  <c r="M121" i="2"/>
  <c r="Z121" i="2" s="1"/>
  <c r="AB120" i="2"/>
  <c r="AA120" i="2"/>
  <c r="X120" i="2"/>
  <c r="W120" i="2"/>
  <c r="P120" i="2"/>
  <c r="O120" i="2"/>
  <c r="M120" i="2"/>
  <c r="Z120" i="2" s="1"/>
  <c r="AB119" i="2"/>
  <c r="X119" i="2"/>
  <c r="W119" i="2"/>
  <c r="O119" i="2"/>
  <c r="M119" i="2"/>
  <c r="AB118" i="2"/>
  <c r="X118" i="2"/>
  <c r="W118" i="2"/>
  <c r="O118" i="2"/>
  <c r="M118" i="2"/>
  <c r="AB117" i="2"/>
  <c r="AA117" i="2"/>
  <c r="X117" i="2"/>
  <c r="W117" i="2"/>
  <c r="S117" i="2"/>
  <c r="Q117" i="2"/>
  <c r="P117" i="2"/>
  <c r="O117" i="2"/>
  <c r="M117" i="2"/>
  <c r="Z117" i="2" s="1"/>
  <c r="AB116" i="2"/>
  <c r="AA116" i="2"/>
  <c r="X116" i="2"/>
  <c r="W116" i="2"/>
  <c r="P116" i="2"/>
  <c r="O116" i="2"/>
  <c r="M116" i="2"/>
  <c r="Z116" i="2" s="1"/>
  <c r="AB115" i="2"/>
  <c r="AA115" i="2"/>
  <c r="Z115" i="2"/>
  <c r="X115" i="2"/>
  <c r="W115" i="2"/>
  <c r="R115" i="2"/>
  <c r="S115" i="2" s="1"/>
  <c r="O115" i="2"/>
  <c r="M115" i="2"/>
  <c r="AB114" i="2"/>
  <c r="Z114" i="2"/>
  <c r="X114" i="2"/>
  <c r="W114" i="2"/>
  <c r="R114" i="2"/>
  <c r="Q114" i="2"/>
  <c r="O114" i="2"/>
  <c r="M114" i="2"/>
  <c r="AB113" i="2"/>
  <c r="AA113" i="2"/>
  <c r="X113" i="2"/>
  <c r="W113" i="2"/>
  <c r="S113" i="2"/>
  <c r="Q113" i="2"/>
  <c r="P113" i="2"/>
  <c r="O113" i="2"/>
  <c r="M113" i="2"/>
  <c r="Z113" i="2" s="1"/>
  <c r="AB112" i="2"/>
  <c r="AA112" i="2"/>
  <c r="X112" i="2"/>
  <c r="W112" i="2"/>
  <c r="P112" i="2"/>
  <c r="O112" i="2"/>
  <c r="M112" i="2"/>
  <c r="Z112" i="2" s="1"/>
  <c r="AB111" i="2"/>
  <c r="X111" i="2"/>
  <c r="W111" i="2"/>
  <c r="O111" i="2"/>
  <c r="M111" i="2"/>
  <c r="AB110" i="2"/>
  <c r="X110" i="2"/>
  <c r="W110" i="2"/>
  <c r="O110" i="2"/>
  <c r="M110" i="2"/>
  <c r="AB109" i="2"/>
  <c r="AA109" i="2"/>
  <c r="X109" i="2"/>
  <c r="W109" i="2"/>
  <c r="Q109" i="2"/>
  <c r="P109" i="2"/>
  <c r="O109" i="2"/>
  <c r="M109" i="2"/>
  <c r="Z109" i="2" s="1"/>
  <c r="AB108" i="2"/>
  <c r="AA108" i="2"/>
  <c r="X108" i="2"/>
  <c r="W108" i="2"/>
  <c r="S108" i="2"/>
  <c r="P108" i="2"/>
  <c r="O108" i="2"/>
  <c r="M108" i="2"/>
  <c r="Z108" i="2" s="1"/>
  <c r="AB107" i="2"/>
  <c r="Z107" i="2"/>
  <c r="X107" i="2"/>
  <c r="W107" i="2"/>
  <c r="R107" i="2"/>
  <c r="O107" i="2"/>
  <c r="M107" i="2"/>
  <c r="AA107" i="2" s="1"/>
  <c r="AB106" i="2"/>
  <c r="Z106" i="2"/>
  <c r="X106" i="2"/>
  <c r="W106" i="2"/>
  <c r="Q106" i="2"/>
  <c r="O106" i="2"/>
  <c r="M106" i="2"/>
  <c r="R106" i="2" s="1"/>
  <c r="AB105" i="2"/>
  <c r="AA105" i="2"/>
  <c r="X105" i="2"/>
  <c r="W105" i="2"/>
  <c r="S105" i="2"/>
  <c r="Q105" i="2"/>
  <c r="P105" i="2"/>
  <c r="O105" i="2"/>
  <c r="M105" i="2"/>
  <c r="Z105" i="2" s="1"/>
  <c r="AB104" i="2"/>
  <c r="AA104" i="2"/>
  <c r="X104" i="2"/>
  <c r="W104" i="2"/>
  <c r="S104" i="2"/>
  <c r="P104" i="2"/>
  <c r="O104" i="2"/>
  <c r="M104" i="2"/>
  <c r="Z104" i="2" s="1"/>
  <c r="AB103" i="2"/>
  <c r="AA103" i="2"/>
  <c r="X103" i="2"/>
  <c r="W103" i="2"/>
  <c r="O103" i="2"/>
  <c r="M103" i="2"/>
  <c r="AB102" i="2"/>
  <c r="X102" i="2"/>
  <c r="W102" i="2"/>
  <c r="R102" i="2"/>
  <c r="O102" i="2"/>
  <c r="M102" i="2"/>
  <c r="AB101" i="2"/>
  <c r="AA101" i="2"/>
  <c r="X101" i="2"/>
  <c r="W101" i="2"/>
  <c r="S101" i="2"/>
  <c r="Q101" i="2"/>
  <c r="P101" i="2"/>
  <c r="O101" i="2"/>
  <c r="M101" i="2"/>
  <c r="Z101" i="2" s="1"/>
  <c r="AB100" i="2"/>
  <c r="AA100" i="2"/>
  <c r="X100" i="2"/>
  <c r="W100" i="2"/>
  <c r="P100" i="2"/>
  <c r="O100" i="2"/>
  <c r="M100" i="2"/>
  <c r="Z100" i="2" s="1"/>
  <c r="AB99" i="2"/>
  <c r="Z99" i="2"/>
  <c r="X99" i="2"/>
  <c r="W99" i="2"/>
  <c r="R99" i="2"/>
  <c r="O99" i="2"/>
  <c r="M99" i="2"/>
  <c r="AA99" i="2" s="1"/>
  <c r="AB98" i="2"/>
  <c r="Z98" i="2"/>
  <c r="X98" i="2"/>
  <c r="W98" i="2"/>
  <c r="Q98" i="2"/>
  <c r="O98" i="2"/>
  <c r="M98" i="2"/>
  <c r="R98" i="2" s="1"/>
  <c r="AB97" i="2"/>
  <c r="AA97" i="2"/>
  <c r="X97" i="2"/>
  <c r="W97" i="2"/>
  <c r="S97" i="2"/>
  <c r="Q97" i="2"/>
  <c r="P97" i="2"/>
  <c r="O97" i="2"/>
  <c r="M97" i="2"/>
  <c r="Z97" i="2" s="1"/>
  <c r="AB96" i="2"/>
  <c r="AA96" i="2"/>
  <c r="X96" i="2"/>
  <c r="W96" i="2"/>
  <c r="S96" i="2"/>
  <c r="P96" i="2"/>
  <c r="O96" i="2"/>
  <c r="M96" i="2"/>
  <c r="Z96" i="2" s="1"/>
  <c r="AB95" i="2"/>
  <c r="AA95" i="2"/>
  <c r="X95" i="2"/>
  <c r="W95" i="2"/>
  <c r="S95" i="2"/>
  <c r="O95" i="2"/>
  <c r="M95" i="2"/>
  <c r="AB94" i="2"/>
  <c r="X94" i="2"/>
  <c r="W94" i="2"/>
  <c r="R94" i="2"/>
  <c r="O94" i="2"/>
  <c r="M94" i="2"/>
  <c r="AB93" i="2"/>
  <c r="AA93" i="2"/>
  <c r="X93" i="2"/>
  <c r="W93" i="2"/>
  <c r="Q93" i="2"/>
  <c r="P93" i="2"/>
  <c r="O93" i="2"/>
  <c r="M93" i="2"/>
  <c r="Z93" i="2" s="1"/>
  <c r="AB92" i="2"/>
  <c r="AA92" i="2"/>
  <c r="X92" i="2"/>
  <c r="W92" i="2"/>
  <c r="S92" i="2"/>
  <c r="P92" i="2"/>
  <c r="O92" i="2"/>
  <c r="M92" i="2"/>
  <c r="Z92" i="2" s="1"/>
  <c r="AB91" i="2"/>
  <c r="X91" i="2"/>
  <c r="W91" i="2"/>
  <c r="O91" i="2"/>
  <c r="M91" i="2"/>
  <c r="AB90" i="2"/>
  <c r="X90" i="2"/>
  <c r="W90" i="2"/>
  <c r="O90" i="2"/>
  <c r="M90" i="2"/>
  <c r="AB89" i="2"/>
  <c r="AA89" i="2"/>
  <c r="X89" i="2"/>
  <c r="W89" i="2"/>
  <c r="Q89" i="2"/>
  <c r="P89" i="2"/>
  <c r="O89" i="2"/>
  <c r="M89" i="2"/>
  <c r="Z89" i="2" s="1"/>
  <c r="AB88" i="2"/>
  <c r="AA88" i="2"/>
  <c r="X88" i="2"/>
  <c r="W88" i="2"/>
  <c r="S88" i="2"/>
  <c r="P88" i="2"/>
  <c r="O88" i="2"/>
  <c r="M88" i="2"/>
  <c r="Z88" i="2" s="1"/>
  <c r="AB87" i="2"/>
  <c r="Z87" i="2"/>
  <c r="X87" i="2"/>
  <c r="W87" i="2"/>
  <c r="R87" i="2"/>
  <c r="O87" i="2"/>
  <c r="M87" i="2"/>
  <c r="AA87" i="2" s="1"/>
  <c r="AB86" i="2"/>
  <c r="Z86" i="2"/>
  <c r="X86" i="2"/>
  <c r="W86" i="2"/>
  <c r="Q86" i="2"/>
  <c r="O86" i="2"/>
  <c r="M86" i="2"/>
  <c r="R86" i="2" s="1"/>
  <c r="AB85" i="2"/>
  <c r="AA85" i="2"/>
  <c r="X85" i="2"/>
  <c r="W85" i="2"/>
  <c r="Q85" i="2"/>
  <c r="P85" i="2"/>
  <c r="O85" i="2"/>
  <c r="M85" i="2"/>
  <c r="Z85" i="2" s="1"/>
  <c r="AB84" i="2"/>
  <c r="Z84" i="2"/>
  <c r="X84" i="2"/>
  <c r="W84" i="2"/>
  <c r="R84" i="2"/>
  <c r="O84" i="2"/>
  <c r="M84" i="2"/>
  <c r="Q84" i="2" s="1"/>
  <c r="AB83" i="2"/>
  <c r="X83" i="2"/>
  <c r="W83" i="2"/>
  <c r="Q83" i="2"/>
  <c r="O83" i="2"/>
  <c r="M83" i="2"/>
  <c r="P83" i="2" s="1"/>
  <c r="AB82" i="2"/>
  <c r="Z82" i="2"/>
  <c r="X82" i="2"/>
  <c r="W82" i="2"/>
  <c r="Q82" i="2"/>
  <c r="P82" i="2"/>
  <c r="O82" i="2"/>
  <c r="M82" i="2"/>
  <c r="AB81" i="2"/>
  <c r="AA81" i="2"/>
  <c r="X81" i="2"/>
  <c r="W81" i="2"/>
  <c r="S81" i="2"/>
  <c r="Q81" i="2"/>
  <c r="P81" i="2"/>
  <c r="O81" i="2"/>
  <c r="M81" i="2"/>
  <c r="Z81" i="2" s="1"/>
  <c r="AB80" i="2"/>
  <c r="X80" i="2"/>
  <c r="W80" i="2"/>
  <c r="P80" i="2"/>
  <c r="O80" i="2"/>
  <c r="M80" i="2"/>
  <c r="Q80" i="2" s="1"/>
  <c r="AB79" i="2"/>
  <c r="Z79" i="2"/>
  <c r="X79" i="2"/>
  <c r="W79" i="2"/>
  <c r="R79" i="2"/>
  <c r="O79" i="2"/>
  <c r="M79" i="2"/>
  <c r="P79" i="2" s="1"/>
  <c r="AB78" i="2"/>
  <c r="X78" i="2"/>
  <c r="W78" i="2"/>
  <c r="O78" i="2"/>
  <c r="M78" i="2"/>
  <c r="AB77" i="2"/>
  <c r="AA77" i="2"/>
  <c r="X77" i="2"/>
  <c r="W77" i="2"/>
  <c r="S77" i="2"/>
  <c r="Q77" i="2"/>
  <c r="P77" i="2"/>
  <c r="O77" i="2"/>
  <c r="M77" i="2"/>
  <c r="Z77" i="2" s="1"/>
  <c r="AB76" i="2"/>
  <c r="Z76" i="2"/>
  <c r="X76" i="2"/>
  <c r="W76" i="2"/>
  <c r="R76" i="2"/>
  <c r="O76" i="2"/>
  <c r="M76" i="2"/>
  <c r="Q76" i="2" s="1"/>
  <c r="AB75" i="2"/>
  <c r="X75" i="2"/>
  <c r="W75" i="2"/>
  <c r="Q75" i="2"/>
  <c r="O75" i="2"/>
  <c r="M75" i="2"/>
  <c r="P75" i="2" s="1"/>
  <c r="AB74" i="2"/>
  <c r="Z74" i="2"/>
  <c r="X74" i="2"/>
  <c r="W74" i="2"/>
  <c r="Q74" i="2"/>
  <c r="P74" i="2"/>
  <c r="O74" i="2"/>
  <c r="M74" i="2"/>
  <c r="AB73" i="2"/>
  <c r="AA73" i="2"/>
  <c r="X73" i="2"/>
  <c r="W73" i="2"/>
  <c r="Q73" i="2"/>
  <c r="P73" i="2"/>
  <c r="O73" i="2"/>
  <c r="M73" i="2"/>
  <c r="Z73" i="2" s="1"/>
  <c r="AB72" i="2"/>
  <c r="X72" i="2"/>
  <c r="W72" i="2"/>
  <c r="P72" i="2"/>
  <c r="O72" i="2"/>
  <c r="M72" i="2"/>
  <c r="Q72" i="2" s="1"/>
  <c r="AB71" i="2"/>
  <c r="Z71" i="2"/>
  <c r="X71" i="2"/>
  <c r="W71" i="2"/>
  <c r="R71" i="2"/>
  <c r="O71" i="2"/>
  <c r="M71" i="2"/>
  <c r="P71" i="2" s="1"/>
  <c r="AB70" i="2"/>
  <c r="X70" i="2"/>
  <c r="W70" i="2"/>
  <c r="R70" i="2"/>
  <c r="O70" i="2"/>
  <c r="M70" i="2"/>
  <c r="AB69" i="2"/>
  <c r="AA69" i="2"/>
  <c r="X69" i="2"/>
  <c r="W69" i="2"/>
  <c r="Q69" i="2"/>
  <c r="P69" i="2"/>
  <c r="O69" i="2"/>
  <c r="M69" i="2"/>
  <c r="Z69" i="2" s="1"/>
  <c r="AB68" i="2"/>
  <c r="Z68" i="2"/>
  <c r="X68" i="2"/>
  <c r="W68" i="2"/>
  <c r="R68" i="2"/>
  <c r="O68" i="2"/>
  <c r="M68" i="2"/>
  <c r="Q68" i="2" s="1"/>
  <c r="AB67" i="2"/>
  <c r="X67" i="2"/>
  <c r="W67" i="2"/>
  <c r="Q67" i="2"/>
  <c r="O67" i="2"/>
  <c r="M67" i="2"/>
  <c r="P67" i="2" s="1"/>
  <c r="AB66" i="2"/>
  <c r="Z66" i="2"/>
  <c r="X66" i="2"/>
  <c r="W66" i="2"/>
  <c r="Q66" i="2"/>
  <c r="P66" i="2"/>
  <c r="O66" i="2"/>
  <c r="M66" i="2"/>
  <c r="AB65" i="2"/>
  <c r="AA65" i="2"/>
  <c r="X65" i="2"/>
  <c r="W65" i="2"/>
  <c r="Q65" i="2"/>
  <c r="P65" i="2"/>
  <c r="O65" i="2"/>
  <c r="M65" i="2"/>
  <c r="Z65" i="2" s="1"/>
  <c r="AB64" i="2"/>
  <c r="X64" i="2"/>
  <c r="W64" i="2"/>
  <c r="P64" i="2"/>
  <c r="O64" i="2"/>
  <c r="M64" i="2"/>
  <c r="Q64" i="2" s="1"/>
  <c r="AB63" i="2"/>
  <c r="Z63" i="2"/>
  <c r="X63" i="2"/>
  <c r="W63" i="2"/>
  <c r="R63" i="2"/>
  <c r="O63" i="2"/>
  <c r="M63" i="2"/>
  <c r="P63" i="2" s="1"/>
  <c r="AB62" i="2"/>
  <c r="AA62" i="2"/>
  <c r="X62" i="2"/>
  <c r="W62" i="2"/>
  <c r="Q62" i="2"/>
  <c r="P62" i="2"/>
  <c r="O62" i="2"/>
  <c r="M62" i="2"/>
  <c r="Z62" i="2" s="1"/>
  <c r="AB61" i="2"/>
  <c r="AA61" i="2"/>
  <c r="X61" i="2"/>
  <c r="W61" i="2"/>
  <c r="S61" i="2"/>
  <c r="P61" i="2"/>
  <c r="O61" i="2"/>
  <c r="M61" i="2"/>
  <c r="Z61" i="2" s="1"/>
  <c r="AB60" i="2"/>
  <c r="X60" i="2"/>
  <c r="W60" i="2"/>
  <c r="R60" i="2"/>
  <c r="O60" i="2"/>
  <c r="M60" i="2"/>
  <c r="AB59" i="2"/>
  <c r="X59" i="2"/>
  <c r="W59" i="2"/>
  <c r="Q59" i="2"/>
  <c r="O59" i="2"/>
  <c r="M59" i="2"/>
  <c r="P59" i="2" s="1"/>
  <c r="AB58" i="2"/>
  <c r="AA58" i="2"/>
  <c r="X58" i="2"/>
  <c r="W58" i="2"/>
  <c r="S58" i="2"/>
  <c r="Q58" i="2"/>
  <c r="P58" i="2"/>
  <c r="O58" i="2"/>
  <c r="M58" i="2"/>
  <c r="Z58" i="2" s="1"/>
  <c r="AB57" i="2"/>
  <c r="AA57" i="2"/>
  <c r="X57" i="2"/>
  <c r="W57" i="2"/>
  <c r="S57" i="2"/>
  <c r="P57" i="2"/>
  <c r="O57" i="2"/>
  <c r="M57" i="2"/>
  <c r="Z57" i="2" s="1"/>
  <c r="AB56" i="2"/>
  <c r="X56" i="2"/>
  <c r="W56" i="2"/>
  <c r="O56" i="2"/>
  <c r="M56" i="2"/>
  <c r="AB55" i="2"/>
  <c r="X55" i="2"/>
  <c r="W55" i="2"/>
  <c r="Q55" i="2"/>
  <c r="O55" i="2"/>
  <c r="M55" i="2"/>
  <c r="P55" i="2" s="1"/>
  <c r="AB54" i="2"/>
  <c r="AA54" i="2"/>
  <c r="X54" i="2"/>
  <c r="W54" i="2"/>
  <c r="S54" i="2"/>
  <c r="Q54" i="2"/>
  <c r="P54" i="2"/>
  <c r="O54" i="2"/>
  <c r="M54" i="2"/>
  <c r="Z54" i="2" s="1"/>
  <c r="AB53" i="2"/>
  <c r="AA53" i="2"/>
  <c r="X53" i="2"/>
  <c r="W53" i="2"/>
  <c r="S53" i="2"/>
  <c r="P53" i="2"/>
  <c r="O53" i="2"/>
  <c r="M53" i="2"/>
  <c r="Z53" i="2" s="1"/>
  <c r="AB52" i="2"/>
  <c r="X52" i="2"/>
  <c r="W52" i="2"/>
  <c r="R52" i="2"/>
  <c r="O52" i="2"/>
  <c r="M52" i="2"/>
  <c r="AB51" i="2"/>
  <c r="X51" i="2"/>
  <c r="W51" i="2"/>
  <c r="Q51" i="2"/>
  <c r="O51" i="2"/>
  <c r="M51" i="2"/>
  <c r="P51" i="2" s="1"/>
  <c r="AB50" i="2"/>
  <c r="AA50" i="2"/>
  <c r="X50" i="2"/>
  <c r="W50" i="2"/>
  <c r="S50" i="2"/>
  <c r="Q50" i="2"/>
  <c r="P50" i="2"/>
  <c r="O50" i="2"/>
  <c r="M50" i="2"/>
  <c r="Z50" i="2" s="1"/>
  <c r="AB49" i="2"/>
  <c r="AA49" i="2"/>
  <c r="X49" i="2"/>
  <c r="W49" i="2"/>
  <c r="P49" i="2"/>
  <c r="O49" i="2"/>
  <c r="M49" i="2"/>
  <c r="Z49" i="2" s="1"/>
  <c r="AB48" i="2"/>
  <c r="X48" i="2"/>
  <c r="W48" i="2"/>
  <c r="O48" i="2"/>
  <c r="M48" i="2"/>
  <c r="AB47" i="2"/>
  <c r="X47" i="2"/>
  <c r="W47" i="2"/>
  <c r="Q47" i="2"/>
  <c r="O47" i="2"/>
  <c r="M47" i="2"/>
  <c r="P47" i="2" s="1"/>
  <c r="AB46" i="2"/>
  <c r="AA46" i="2"/>
  <c r="X46" i="2"/>
  <c r="W46" i="2"/>
  <c r="S46" i="2"/>
  <c r="Q46" i="2"/>
  <c r="P46" i="2"/>
  <c r="O46" i="2"/>
  <c r="M46" i="2"/>
  <c r="Z46" i="2" s="1"/>
  <c r="AB45" i="2"/>
  <c r="AA45" i="2"/>
  <c r="X45" i="2"/>
  <c r="W45" i="2"/>
  <c r="S45" i="2"/>
  <c r="P45" i="2"/>
  <c r="O45" i="2"/>
  <c r="M45" i="2"/>
  <c r="Z45" i="2" s="1"/>
  <c r="AB44" i="2"/>
  <c r="X44" i="2"/>
  <c r="W44" i="2"/>
  <c r="R44" i="2"/>
  <c r="O44" i="2"/>
  <c r="M44" i="2"/>
  <c r="AB43" i="2"/>
  <c r="X43" i="2"/>
  <c r="W43" i="2"/>
  <c r="Q43" i="2"/>
  <c r="O43" i="2"/>
  <c r="M43" i="2"/>
  <c r="P43" i="2" s="1"/>
  <c r="AB42" i="2"/>
  <c r="AA42" i="2"/>
  <c r="X42" i="2"/>
  <c r="W42" i="2"/>
  <c r="S42" i="2"/>
  <c r="Q42" i="2"/>
  <c r="P42" i="2"/>
  <c r="O42" i="2"/>
  <c r="M42" i="2"/>
  <c r="Z42" i="2" s="1"/>
  <c r="AB41" i="2"/>
  <c r="AA41" i="2"/>
  <c r="X41" i="2"/>
  <c r="W41" i="2"/>
  <c r="S41" i="2"/>
  <c r="P41" i="2"/>
  <c r="O41" i="2"/>
  <c r="M41" i="2"/>
  <c r="Z41" i="2" s="1"/>
  <c r="AB40" i="2"/>
  <c r="X40" i="2"/>
  <c r="W40" i="2"/>
  <c r="O40" i="2"/>
  <c r="M40" i="2"/>
  <c r="AB39" i="2"/>
  <c r="X39" i="2"/>
  <c r="W39" i="2"/>
  <c r="Q39" i="2"/>
  <c r="O39" i="2"/>
  <c r="M39" i="2"/>
  <c r="P39" i="2" s="1"/>
  <c r="AB38" i="2"/>
  <c r="AA38" i="2"/>
  <c r="X38" i="2"/>
  <c r="W38" i="2"/>
  <c r="S38" i="2"/>
  <c r="Q38" i="2"/>
  <c r="P38" i="2"/>
  <c r="O38" i="2"/>
  <c r="M38" i="2"/>
  <c r="Z38" i="2" s="1"/>
  <c r="AB37" i="2"/>
  <c r="AA37" i="2"/>
  <c r="X37" i="2"/>
  <c r="W37" i="2"/>
  <c r="S37" i="2"/>
  <c r="P37" i="2"/>
  <c r="O37" i="2"/>
  <c r="M37" i="2"/>
  <c r="Z37" i="2" s="1"/>
  <c r="AB36" i="2"/>
  <c r="X36" i="2"/>
  <c r="W36" i="2"/>
  <c r="R36" i="2"/>
  <c r="O36" i="2"/>
  <c r="M36" i="2"/>
  <c r="AB35" i="2"/>
  <c r="X35" i="2"/>
  <c r="W35" i="2"/>
  <c r="Q35" i="2"/>
  <c r="O35" i="2"/>
  <c r="M35" i="2"/>
  <c r="P35" i="2" s="1"/>
  <c r="AB34" i="2"/>
  <c r="AA34" i="2"/>
  <c r="X34" i="2"/>
  <c r="W34" i="2"/>
  <c r="S34" i="2"/>
  <c r="Q34" i="2"/>
  <c r="P34" i="2"/>
  <c r="O34" i="2"/>
  <c r="M34" i="2"/>
  <c r="Z34" i="2" s="1"/>
  <c r="AB33" i="2"/>
  <c r="AA33" i="2"/>
  <c r="X33" i="2"/>
  <c r="W33" i="2"/>
  <c r="S33" i="2"/>
  <c r="P33" i="2"/>
  <c r="O33" i="2"/>
  <c r="M33" i="2"/>
  <c r="Z33" i="2" s="1"/>
  <c r="AB32" i="2"/>
  <c r="X32" i="2"/>
  <c r="W32" i="2"/>
  <c r="O32" i="2"/>
  <c r="M32" i="2"/>
  <c r="AB31" i="2"/>
  <c r="X31" i="2"/>
  <c r="W31" i="2"/>
  <c r="Q31" i="2"/>
  <c r="O31" i="2"/>
  <c r="M31" i="2"/>
  <c r="P31" i="2" s="1"/>
  <c r="AB30" i="2"/>
  <c r="AA30" i="2"/>
  <c r="X30" i="2"/>
  <c r="W30" i="2"/>
  <c r="Q30" i="2"/>
  <c r="P30" i="2"/>
  <c r="O30" i="2"/>
  <c r="M30" i="2"/>
  <c r="Z30" i="2" s="1"/>
  <c r="AB29" i="2"/>
  <c r="AA29" i="2"/>
  <c r="X29" i="2"/>
  <c r="W29" i="2"/>
  <c r="S29" i="2"/>
  <c r="P29" i="2"/>
  <c r="O29" i="2"/>
  <c r="M29" i="2"/>
  <c r="Z29" i="2" s="1"/>
  <c r="AB28" i="2"/>
  <c r="Z28" i="2"/>
  <c r="X28" i="2"/>
  <c r="W28" i="2"/>
  <c r="R28" i="2"/>
  <c r="O28" i="2"/>
  <c r="M28" i="2"/>
  <c r="AB27" i="2"/>
  <c r="X27" i="2"/>
  <c r="W27" i="2"/>
  <c r="Q27" i="2"/>
  <c r="O27" i="2"/>
  <c r="M27" i="2"/>
  <c r="P27" i="2" s="1"/>
  <c r="AB26" i="2"/>
  <c r="AA26" i="2"/>
  <c r="X26" i="2"/>
  <c r="W26" i="2"/>
  <c r="Q26" i="2"/>
  <c r="P26" i="2"/>
  <c r="O26" i="2"/>
  <c r="M26" i="2"/>
  <c r="Z26" i="2" s="1"/>
  <c r="AB25" i="2"/>
  <c r="AA25" i="2"/>
  <c r="X25" i="2"/>
  <c r="W25" i="2"/>
  <c r="P25" i="2"/>
  <c r="O25" i="2"/>
  <c r="M25" i="2"/>
  <c r="Z25" i="2" s="1"/>
  <c r="AB24" i="2"/>
  <c r="Z24" i="2"/>
  <c r="X24" i="2"/>
  <c r="W24" i="2"/>
  <c r="R24" i="2"/>
  <c r="O24" i="2"/>
  <c r="M24" i="2"/>
  <c r="AB23" i="2"/>
  <c r="X23" i="2"/>
  <c r="W23" i="2"/>
  <c r="Q23" i="2"/>
  <c r="O23" i="2"/>
  <c r="M23" i="2"/>
  <c r="P23" i="2" s="1"/>
  <c r="AB22" i="2"/>
  <c r="AA22" i="2"/>
  <c r="X22" i="2"/>
  <c r="W22" i="2"/>
  <c r="Q22" i="2"/>
  <c r="P22" i="2"/>
  <c r="O22" i="2"/>
  <c r="M22" i="2"/>
  <c r="Z22" i="2" s="1"/>
  <c r="AB21" i="2"/>
  <c r="AA21" i="2"/>
  <c r="X21" i="2"/>
  <c r="W21" i="2"/>
  <c r="S21" i="2"/>
  <c r="P21" i="2"/>
  <c r="O21" i="2"/>
  <c r="M21" i="2"/>
  <c r="Z21" i="2" s="1"/>
  <c r="AB20" i="2"/>
  <c r="X20" i="2"/>
  <c r="W20" i="2"/>
  <c r="R20" i="2"/>
  <c r="O20" i="2"/>
  <c r="M20" i="2"/>
  <c r="AB19" i="2"/>
  <c r="X19" i="2"/>
  <c r="W19" i="2"/>
  <c r="Q19" i="2"/>
  <c r="O19" i="2"/>
  <c r="M19" i="2"/>
  <c r="P19" i="2" s="1"/>
  <c r="AB18" i="2"/>
  <c r="AA18" i="2"/>
  <c r="X18" i="2"/>
  <c r="W18" i="2"/>
  <c r="S18" i="2"/>
  <c r="Q18" i="2"/>
  <c r="P18" i="2"/>
  <c r="O18" i="2"/>
  <c r="M18" i="2"/>
  <c r="Z18" i="2" s="1"/>
  <c r="AB17" i="2"/>
  <c r="AA17" i="2"/>
  <c r="X17" i="2"/>
  <c r="W17" i="2"/>
  <c r="S17" i="2"/>
  <c r="P17" i="2"/>
  <c r="O17" i="2"/>
  <c r="M17" i="2"/>
  <c r="Z17" i="2" s="1"/>
  <c r="AB16" i="2"/>
  <c r="X16" i="2"/>
  <c r="W16" i="2"/>
  <c r="O16" i="2"/>
  <c r="M16" i="2"/>
  <c r="AB15" i="2"/>
  <c r="X15" i="2"/>
  <c r="W15" i="2"/>
  <c r="Q15" i="2"/>
  <c r="O15" i="2"/>
  <c r="M15" i="2"/>
  <c r="P15" i="2" s="1"/>
  <c r="AB14" i="2"/>
  <c r="AA14" i="2"/>
  <c r="X14" i="2"/>
  <c r="W14" i="2"/>
  <c r="Q14" i="2"/>
  <c r="P14" i="2"/>
  <c r="O14" i="2"/>
  <c r="M14" i="2"/>
  <c r="Z14" i="2" s="1"/>
  <c r="AB13" i="2"/>
  <c r="AA13" i="2"/>
  <c r="X13" i="2"/>
  <c r="W13" i="2"/>
  <c r="S13" i="2"/>
  <c r="P13" i="2"/>
  <c r="O13" i="2"/>
  <c r="M13" i="2"/>
  <c r="Z13" i="2" s="1"/>
  <c r="AB12" i="2"/>
  <c r="Z12" i="2"/>
  <c r="X12" i="2"/>
  <c r="W12" i="2"/>
  <c r="R12" i="2"/>
  <c r="O12" i="2"/>
  <c r="M12" i="2"/>
  <c r="AB11" i="2"/>
  <c r="X11" i="2"/>
  <c r="W11" i="2"/>
  <c r="Q11" i="2"/>
  <c r="O11" i="2"/>
  <c r="M11" i="2"/>
  <c r="P11" i="2" s="1"/>
  <c r="AB10" i="2"/>
  <c r="AA10" i="2"/>
  <c r="X10" i="2"/>
  <c r="W10" i="2"/>
  <c r="Q10" i="2"/>
  <c r="P10" i="2"/>
  <c r="O10" i="2"/>
  <c r="M10" i="2"/>
  <c r="Z10" i="2" s="1"/>
  <c r="AB9" i="2"/>
  <c r="AA9" i="2"/>
  <c r="X9" i="2"/>
  <c r="W9" i="2"/>
  <c r="S9" i="2"/>
  <c r="P9" i="2"/>
  <c r="O9" i="2"/>
  <c r="M9" i="2"/>
  <c r="Z9" i="2" s="1"/>
  <c r="AB8" i="2"/>
  <c r="X8" i="2"/>
  <c r="W8" i="2"/>
  <c r="R8" i="2"/>
  <c r="O8" i="2"/>
  <c r="M8" i="2"/>
  <c r="AB7" i="2"/>
  <c r="X7" i="2"/>
  <c r="W7" i="2"/>
  <c r="Q7" i="2"/>
  <c r="O7" i="2"/>
  <c r="M7" i="2"/>
  <c r="P7" i="2" s="1"/>
  <c r="AB6" i="2"/>
  <c r="AA6" i="2"/>
  <c r="X6" i="2"/>
  <c r="W6" i="2"/>
  <c r="S6" i="2"/>
  <c r="Q6" i="2"/>
  <c r="P6" i="2"/>
  <c r="O6" i="2"/>
  <c r="M6" i="2"/>
  <c r="Z6" i="2" s="1"/>
  <c r="AB5" i="2"/>
  <c r="AA5" i="2"/>
  <c r="X5" i="2"/>
  <c r="W5" i="2"/>
  <c r="S5" i="2"/>
  <c r="P5" i="2"/>
  <c r="O5" i="2"/>
  <c r="M5" i="2"/>
  <c r="Z5" i="2" s="1"/>
  <c r="AB4" i="2"/>
  <c r="X4" i="2"/>
  <c r="W4" i="2"/>
  <c r="O4" i="2"/>
  <c r="M4" i="2"/>
  <c r="AB3" i="2"/>
  <c r="X3" i="2"/>
  <c r="W3" i="2"/>
  <c r="Q3" i="2"/>
  <c r="O3" i="2"/>
  <c r="M3" i="2"/>
  <c r="P3" i="2" s="1"/>
  <c r="AB2" i="2"/>
  <c r="AA2" i="2"/>
  <c r="X2" i="2"/>
  <c r="W2" i="2"/>
  <c r="S2" i="2"/>
  <c r="Q2" i="2"/>
  <c r="P2" i="2"/>
  <c r="O2" i="2"/>
  <c r="M2" i="2"/>
  <c r="Z2" i="2" s="1"/>
  <c r="S185" i="2" l="1"/>
  <c r="H3" i="4"/>
  <c r="H4" i="4"/>
  <c r="H5" i="4"/>
  <c r="H6" i="4"/>
  <c r="H2" i="4"/>
  <c r="I5" i="3"/>
  <c r="Q40" i="2"/>
  <c r="P40" i="2"/>
  <c r="AA40" i="2"/>
  <c r="Q48" i="2"/>
  <c r="P48" i="2"/>
  <c r="AA48" i="2"/>
  <c r="Q56" i="2"/>
  <c r="P56" i="2"/>
  <c r="AA56" i="2"/>
  <c r="S56" i="2"/>
  <c r="AA78" i="2"/>
  <c r="Z78" i="2"/>
  <c r="Q78" i="2"/>
  <c r="P78" i="2"/>
  <c r="P118" i="2"/>
  <c r="AA118" i="2"/>
  <c r="S118" i="2"/>
  <c r="R118" i="2"/>
  <c r="Z118" i="2"/>
  <c r="Q118" i="2"/>
  <c r="Q127" i="2"/>
  <c r="P127" i="2"/>
  <c r="AA127" i="2"/>
  <c r="Z127" i="2"/>
  <c r="R127" i="2"/>
  <c r="S127" i="2" s="1"/>
  <c r="Q4" i="2"/>
  <c r="P4" i="2"/>
  <c r="AA4" i="2"/>
  <c r="S4" i="2"/>
  <c r="Q16" i="2"/>
  <c r="P16" i="2"/>
  <c r="AA16" i="2"/>
  <c r="S16" i="2"/>
  <c r="Z4" i="2"/>
  <c r="Q32" i="2"/>
  <c r="P32" i="2"/>
  <c r="AA32" i="2"/>
  <c r="S32" i="2"/>
  <c r="Q91" i="2"/>
  <c r="P91" i="2"/>
  <c r="AA91" i="2"/>
  <c r="Z91" i="2"/>
  <c r="R91" i="2"/>
  <c r="S91" i="2" s="1"/>
  <c r="R4" i="2"/>
  <c r="Q8" i="2"/>
  <c r="P8" i="2"/>
  <c r="AA8" i="2"/>
  <c r="S8" i="2"/>
  <c r="R16" i="2"/>
  <c r="Q20" i="2"/>
  <c r="P20" i="2"/>
  <c r="AA20" i="2"/>
  <c r="S20" i="2"/>
  <c r="Z32" i="2"/>
  <c r="Z40" i="2"/>
  <c r="Z48" i="2"/>
  <c r="Z56" i="2"/>
  <c r="P110" i="2"/>
  <c r="AA110" i="2"/>
  <c r="S110" i="2"/>
  <c r="R110" i="2"/>
  <c r="Z110" i="2"/>
  <c r="Q110" i="2"/>
  <c r="Q119" i="2"/>
  <c r="P119" i="2"/>
  <c r="AA119" i="2"/>
  <c r="S119" i="2"/>
  <c r="Z119" i="2"/>
  <c r="R119" i="2"/>
  <c r="P154" i="2"/>
  <c r="AA154" i="2"/>
  <c r="S154" i="2"/>
  <c r="R154" i="2"/>
  <c r="Z154" i="2"/>
  <c r="Q154" i="2"/>
  <c r="Z16" i="2"/>
  <c r="Z8" i="2"/>
  <c r="Q12" i="2"/>
  <c r="P12" i="2"/>
  <c r="AA12" i="2"/>
  <c r="S12" i="2"/>
  <c r="Z20" i="2"/>
  <c r="Q24" i="2"/>
  <c r="P24" i="2"/>
  <c r="AA24" i="2"/>
  <c r="S24" i="2"/>
  <c r="R32" i="2"/>
  <c r="Q36" i="2"/>
  <c r="P36" i="2"/>
  <c r="AA36" i="2"/>
  <c r="S36" i="2"/>
  <c r="R40" i="2"/>
  <c r="S40" i="2" s="1"/>
  <c r="Q44" i="2"/>
  <c r="P44" i="2"/>
  <c r="AA44" i="2"/>
  <c r="S44" i="2"/>
  <c r="R48" i="2"/>
  <c r="S48" i="2" s="1"/>
  <c r="Q52" i="2"/>
  <c r="P52" i="2"/>
  <c r="AA52" i="2"/>
  <c r="S52" i="2"/>
  <c r="R56" i="2"/>
  <c r="Q60" i="2"/>
  <c r="P60" i="2"/>
  <c r="AA60" i="2"/>
  <c r="S60" i="2"/>
  <c r="R78" i="2"/>
  <c r="S78" i="2" s="1"/>
  <c r="Q111" i="2"/>
  <c r="P111" i="2"/>
  <c r="AA111" i="2"/>
  <c r="S111" i="2"/>
  <c r="Z111" i="2"/>
  <c r="R111" i="2"/>
  <c r="Q155" i="2"/>
  <c r="P155" i="2"/>
  <c r="AA155" i="2"/>
  <c r="S155" i="2"/>
  <c r="Z155" i="2"/>
  <c r="R155" i="2"/>
  <c r="Q28" i="2"/>
  <c r="P28" i="2"/>
  <c r="AA28" i="2"/>
  <c r="S28" i="2"/>
  <c r="Z36" i="2"/>
  <c r="Z44" i="2"/>
  <c r="Z52" i="2"/>
  <c r="Z60" i="2"/>
  <c r="AA70" i="2"/>
  <c r="S70" i="2"/>
  <c r="Z70" i="2"/>
  <c r="Q70" i="2"/>
  <c r="P70" i="2"/>
  <c r="P90" i="2"/>
  <c r="AA90" i="2"/>
  <c r="S90" i="2"/>
  <c r="R90" i="2"/>
  <c r="Z90" i="2"/>
  <c r="Q90" i="2"/>
  <c r="P126" i="2"/>
  <c r="AA126" i="2"/>
  <c r="S126" i="2"/>
  <c r="R126" i="2"/>
  <c r="Z126" i="2"/>
  <c r="Q126" i="2"/>
  <c r="R3" i="2"/>
  <c r="Z3" i="2"/>
  <c r="R7" i="2"/>
  <c r="Z7" i="2"/>
  <c r="R11" i="2"/>
  <c r="Z11" i="2"/>
  <c r="R15" i="2"/>
  <c r="Z15" i="2"/>
  <c r="R19" i="2"/>
  <c r="Z19" i="2"/>
  <c r="R23" i="2"/>
  <c r="Z23" i="2"/>
  <c r="R27" i="2"/>
  <c r="Z27" i="2"/>
  <c r="R31" i="2"/>
  <c r="Z31" i="2"/>
  <c r="R35" i="2"/>
  <c r="Z35" i="2"/>
  <c r="R39" i="2"/>
  <c r="S39" i="2" s="1"/>
  <c r="Z39" i="2"/>
  <c r="R43" i="2"/>
  <c r="Z43" i="2"/>
  <c r="R47" i="2"/>
  <c r="Z47" i="2"/>
  <c r="R51" i="2"/>
  <c r="Z51" i="2"/>
  <c r="R55" i="2"/>
  <c r="Z55" i="2"/>
  <c r="R59" i="2"/>
  <c r="Z59" i="2"/>
  <c r="S63" i="2"/>
  <c r="AA63" i="2"/>
  <c r="S68" i="2"/>
  <c r="AA68" i="2"/>
  <c r="S71" i="2"/>
  <c r="AA71" i="2"/>
  <c r="S76" i="2"/>
  <c r="AA76" i="2"/>
  <c r="S79" i="2"/>
  <c r="AA79" i="2"/>
  <c r="S84" i="2"/>
  <c r="AA84" i="2"/>
  <c r="P94" i="2"/>
  <c r="AA94" i="2"/>
  <c r="S94" i="2"/>
  <c r="Q95" i="2"/>
  <c r="P95" i="2"/>
  <c r="P102" i="2"/>
  <c r="AA102" i="2"/>
  <c r="S102" i="2"/>
  <c r="Q103" i="2"/>
  <c r="P103" i="2"/>
  <c r="P138" i="2"/>
  <c r="AA138" i="2"/>
  <c r="S138" i="2"/>
  <c r="Q139" i="2"/>
  <c r="P139" i="2"/>
  <c r="P146" i="2"/>
  <c r="AA146" i="2"/>
  <c r="S146" i="2"/>
  <c r="Q147" i="2"/>
  <c r="P147" i="2"/>
  <c r="Q163" i="2"/>
  <c r="P163" i="2"/>
  <c r="AA163" i="2"/>
  <c r="R2" i="2"/>
  <c r="S3" i="2"/>
  <c r="AA3" i="2"/>
  <c r="Q5" i="2"/>
  <c r="R6" i="2"/>
  <c r="S7" i="2"/>
  <c r="AA7" i="2"/>
  <c r="Q9" i="2"/>
  <c r="R10" i="2"/>
  <c r="S10" i="2" s="1"/>
  <c r="S11" i="2"/>
  <c r="AA11" i="2"/>
  <c r="Q13" i="2"/>
  <c r="R14" i="2"/>
  <c r="S15" i="2"/>
  <c r="AA15" i="2"/>
  <c r="Q17" i="2"/>
  <c r="R18" i="2"/>
  <c r="S19" i="2"/>
  <c r="AA19" i="2"/>
  <c r="Q21" i="2"/>
  <c r="R22" i="2"/>
  <c r="S22" i="2" s="1"/>
  <c r="S23" i="2"/>
  <c r="AA23" i="2"/>
  <c r="Q25" i="2"/>
  <c r="R26" i="2"/>
  <c r="S27" i="2"/>
  <c r="AA27" i="2"/>
  <c r="Q29" i="2"/>
  <c r="R30" i="2"/>
  <c r="S30" i="2" s="1"/>
  <c r="S31" i="2"/>
  <c r="AA31" i="2"/>
  <c r="Q33" i="2"/>
  <c r="R34" i="2"/>
  <c r="S35" i="2"/>
  <c r="AA35" i="2"/>
  <c r="Q37" i="2"/>
  <c r="R38" i="2"/>
  <c r="AA39" i="2"/>
  <c r="Q41" i="2"/>
  <c r="R42" i="2"/>
  <c r="S43" i="2"/>
  <c r="AA43" i="2"/>
  <c r="Q45" i="2"/>
  <c r="R46" i="2"/>
  <c r="S47" i="2"/>
  <c r="AA47" i="2"/>
  <c r="Q49" i="2"/>
  <c r="R50" i="2"/>
  <c r="S51" i="2"/>
  <c r="AA51" i="2"/>
  <c r="Q53" i="2"/>
  <c r="R54" i="2"/>
  <c r="S55" i="2"/>
  <c r="AA55" i="2"/>
  <c r="Q57" i="2"/>
  <c r="R58" i="2"/>
  <c r="S59" i="2"/>
  <c r="AA59" i="2"/>
  <c r="Q61" i="2"/>
  <c r="R62" i="2"/>
  <c r="S62" i="2" s="1"/>
  <c r="R64" i="2"/>
  <c r="Z64" i="2"/>
  <c r="AA66" i="2"/>
  <c r="R66" i="2"/>
  <c r="S66" i="2" s="1"/>
  <c r="R67" i="2"/>
  <c r="S67" i="2" s="1"/>
  <c r="Z67" i="2"/>
  <c r="R72" i="2"/>
  <c r="S72" i="2" s="1"/>
  <c r="Z72" i="2"/>
  <c r="AA74" i="2"/>
  <c r="R74" i="2"/>
  <c r="S74" i="2" s="1"/>
  <c r="R75" i="2"/>
  <c r="Z75" i="2"/>
  <c r="R80" i="2"/>
  <c r="Z80" i="2"/>
  <c r="AA82" i="2"/>
  <c r="S82" i="2"/>
  <c r="R82" i="2"/>
  <c r="R83" i="2"/>
  <c r="S83" i="2" s="1"/>
  <c r="Z83" i="2"/>
  <c r="S87" i="2"/>
  <c r="S99" i="2"/>
  <c r="S107" i="2"/>
  <c r="P114" i="2"/>
  <c r="AA114" i="2"/>
  <c r="S114" i="2"/>
  <c r="Q115" i="2"/>
  <c r="P115" i="2"/>
  <c r="P122" i="2"/>
  <c r="AA122" i="2"/>
  <c r="S122" i="2"/>
  <c r="Q123" i="2"/>
  <c r="P123" i="2"/>
  <c r="P130" i="2"/>
  <c r="AA130" i="2"/>
  <c r="S130" i="2"/>
  <c r="Q131" i="2"/>
  <c r="P131" i="2"/>
  <c r="S135" i="2"/>
  <c r="S143" i="2"/>
  <c r="P150" i="2"/>
  <c r="AA150" i="2"/>
  <c r="S150" i="2"/>
  <c r="Q151" i="2"/>
  <c r="P151" i="2"/>
  <c r="Z163" i="2"/>
  <c r="Q177" i="2"/>
  <c r="P177" i="2"/>
  <c r="AA177" i="2"/>
  <c r="S177" i="2"/>
  <c r="Z177" i="2"/>
  <c r="R177" i="2"/>
  <c r="R5" i="2"/>
  <c r="R9" i="2"/>
  <c r="R13" i="2"/>
  <c r="R17" i="2"/>
  <c r="R21" i="2"/>
  <c r="R25" i="2"/>
  <c r="S25" i="2" s="1"/>
  <c r="R29" i="2"/>
  <c r="R33" i="2"/>
  <c r="R37" i="2"/>
  <c r="R41" i="2"/>
  <c r="R45" i="2"/>
  <c r="R49" i="2"/>
  <c r="R53" i="2"/>
  <c r="R57" i="2"/>
  <c r="R61" i="2"/>
  <c r="Q63" i="2"/>
  <c r="S64" i="2"/>
  <c r="AA64" i="2"/>
  <c r="AA67" i="2"/>
  <c r="P68" i="2"/>
  <c r="Q71" i="2"/>
  <c r="AA72" i="2"/>
  <c r="S75" i="2"/>
  <c r="AA75" i="2"/>
  <c r="P76" i="2"/>
  <c r="Q79" i="2"/>
  <c r="S80" i="2"/>
  <c r="AA80" i="2"/>
  <c r="AA83" i="2"/>
  <c r="P84" i="2"/>
  <c r="P86" i="2"/>
  <c r="AA86" i="2"/>
  <c r="S86" i="2"/>
  <c r="Q87" i="2"/>
  <c r="P87" i="2"/>
  <c r="Q94" i="2"/>
  <c r="Z94" i="2"/>
  <c r="R95" i="2"/>
  <c r="Z95" i="2"/>
  <c r="P98" i="2"/>
  <c r="AA98" i="2"/>
  <c r="S98" i="2"/>
  <c r="Q99" i="2"/>
  <c r="P99" i="2"/>
  <c r="Q102" i="2"/>
  <c r="Z102" i="2"/>
  <c r="R103" i="2"/>
  <c r="S103" i="2" s="1"/>
  <c r="Z103" i="2"/>
  <c r="P106" i="2"/>
  <c r="AA106" i="2"/>
  <c r="S106" i="2"/>
  <c r="Q107" i="2"/>
  <c r="P107" i="2"/>
  <c r="P134" i="2"/>
  <c r="AA134" i="2"/>
  <c r="S134" i="2"/>
  <c r="Q135" i="2"/>
  <c r="P135" i="2"/>
  <c r="Q138" i="2"/>
  <c r="Z138" i="2"/>
  <c r="R139" i="2"/>
  <c r="Z139" i="2"/>
  <c r="P142" i="2"/>
  <c r="AA142" i="2"/>
  <c r="S142" i="2"/>
  <c r="Q143" i="2"/>
  <c r="P143" i="2"/>
  <c r="Q146" i="2"/>
  <c r="Z146" i="2"/>
  <c r="R147" i="2"/>
  <c r="Z147" i="2"/>
  <c r="R163" i="2"/>
  <c r="S163" i="2" s="1"/>
  <c r="Q167" i="2"/>
  <c r="P167" i="2"/>
  <c r="AA167" i="2"/>
  <c r="S167" i="2"/>
  <c r="Q159" i="2"/>
  <c r="P159" i="2"/>
  <c r="AA159" i="2"/>
  <c r="S159" i="2"/>
  <c r="Z167" i="2"/>
  <c r="AA171" i="2"/>
  <c r="S171" i="2"/>
  <c r="Z171" i="2"/>
  <c r="Q171" i="2"/>
  <c r="P171" i="2"/>
  <c r="Q188" i="2"/>
  <c r="P188" i="2"/>
  <c r="AA188" i="2"/>
  <c r="S188" i="2"/>
  <c r="R188" i="2"/>
  <c r="Z188" i="2"/>
  <c r="R158" i="2"/>
  <c r="Z158" i="2"/>
  <c r="R162" i="2"/>
  <c r="S162" i="2" s="1"/>
  <c r="Z162" i="2"/>
  <c r="R166" i="2"/>
  <c r="Z166" i="2"/>
  <c r="S169" i="2"/>
  <c r="AA169" i="2"/>
  <c r="S172" i="2"/>
  <c r="AA172" i="2"/>
  <c r="P180" i="2"/>
  <c r="AA180" i="2"/>
  <c r="S180" i="2"/>
  <c r="Q181" i="2"/>
  <c r="P181" i="2"/>
  <c r="R65" i="2"/>
  <c r="R69" i="2"/>
  <c r="S69" i="2" s="1"/>
  <c r="R73" i="2"/>
  <c r="S73" i="2" s="1"/>
  <c r="R77" i="2"/>
  <c r="R81" i="2"/>
  <c r="R85" i="2"/>
  <c r="S85" i="2" s="1"/>
  <c r="Q88" i="2"/>
  <c r="R89" i="2"/>
  <c r="S89" i="2" s="1"/>
  <c r="Q92" i="2"/>
  <c r="R93" i="2"/>
  <c r="S93" i="2" s="1"/>
  <c r="Q96" i="2"/>
  <c r="R97" i="2"/>
  <c r="Q100" i="2"/>
  <c r="R101" i="2"/>
  <c r="Q104" i="2"/>
  <c r="R105" i="2"/>
  <c r="Q108" i="2"/>
  <c r="R109" i="2"/>
  <c r="S109" i="2" s="1"/>
  <c r="Q112" i="2"/>
  <c r="R113" i="2"/>
  <c r="Q116" i="2"/>
  <c r="R117" i="2"/>
  <c r="Q120" i="2"/>
  <c r="R121" i="2"/>
  <c r="Q124" i="2"/>
  <c r="R125" i="2"/>
  <c r="Q128" i="2"/>
  <c r="R129" i="2"/>
  <c r="Q132" i="2"/>
  <c r="R133" i="2"/>
  <c r="S133" i="2" s="1"/>
  <c r="Q136" i="2"/>
  <c r="R137" i="2"/>
  <c r="Q140" i="2"/>
  <c r="R141" i="2"/>
  <c r="Q144" i="2"/>
  <c r="R145" i="2"/>
  <c r="Q148" i="2"/>
  <c r="R149" i="2"/>
  <c r="S149" i="2" s="1"/>
  <c r="Q152" i="2"/>
  <c r="R153" i="2"/>
  <c r="Q156" i="2"/>
  <c r="R157" i="2"/>
  <c r="S158" i="2"/>
  <c r="AA158" i="2"/>
  <c r="Q160" i="2"/>
  <c r="R161" i="2"/>
  <c r="S161" i="2" s="1"/>
  <c r="AA162" i="2"/>
  <c r="Q164" i="2"/>
  <c r="R165" i="2"/>
  <c r="S166" i="2"/>
  <c r="AA166" i="2"/>
  <c r="R168" i="2"/>
  <c r="Z168" i="2"/>
  <c r="R173" i="2"/>
  <c r="Z173" i="2"/>
  <c r="AA175" i="2"/>
  <c r="R175" i="2"/>
  <c r="S175" i="2" s="1"/>
  <c r="R176" i="2"/>
  <c r="R88" i="2"/>
  <c r="R92" i="2"/>
  <c r="R96" i="2"/>
  <c r="R100" i="2"/>
  <c r="S100" i="2" s="1"/>
  <c r="R104" i="2"/>
  <c r="R108" i="2"/>
  <c r="R112" i="2"/>
  <c r="S112" i="2" s="1"/>
  <c r="R116" i="2"/>
  <c r="S116" i="2" s="1"/>
  <c r="R120" i="2"/>
  <c r="S120" i="2" s="1"/>
  <c r="R124" i="2"/>
  <c r="S124" i="2" s="1"/>
  <c r="R128" i="2"/>
  <c r="R132" i="2"/>
  <c r="R136" i="2"/>
  <c r="R140" i="2"/>
  <c r="R144" i="2"/>
  <c r="R148" i="2"/>
  <c r="R152" i="2"/>
  <c r="R156" i="2"/>
  <c r="R160" i="2"/>
  <c r="R164" i="2"/>
  <c r="S168" i="2"/>
  <c r="AA168" i="2"/>
  <c r="P169" i="2"/>
  <c r="Q172" i="2"/>
  <c r="S173" i="2"/>
  <c r="AA173" i="2"/>
  <c r="P176" i="2"/>
  <c r="AA176" i="2"/>
  <c r="S176" i="2"/>
  <c r="Q180" i="2"/>
  <c r="Z180" i="2"/>
  <c r="R181" i="2"/>
  <c r="Z181" i="2"/>
  <c r="P184" i="2"/>
  <c r="AA184" i="2"/>
  <c r="S184" i="2"/>
  <c r="Z185" i="2"/>
  <c r="Q185" i="2"/>
  <c r="P185" i="2"/>
  <c r="R192" i="2"/>
  <c r="Z192" i="2"/>
  <c r="R196" i="2"/>
  <c r="S196" i="2" s="1"/>
  <c r="Z196" i="2"/>
  <c r="R200" i="2"/>
  <c r="S200" i="2" s="1"/>
  <c r="Z200" i="2"/>
  <c r="R204" i="2"/>
  <c r="S204" i="2" s="1"/>
  <c r="Z204" i="2"/>
  <c r="R208" i="2"/>
  <c r="S208" i="2" s="1"/>
  <c r="Z208" i="2"/>
  <c r="R212" i="2"/>
  <c r="Z212" i="2"/>
  <c r="R216" i="2"/>
  <c r="S216" i="2" s="1"/>
  <c r="Z216" i="2"/>
  <c r="R220" i="2"/>
  <c r="S220" i="2" s="1"/>
  <c r="Z220" i="2"/>
  <c r="R224" i="2"/>
  <c r="S224" i="2" s="1"/>
  <c r="Z224" i="2"/>
  <c r="Q227" i="2"/>
  <c r="R228" i="2"/>
  <c r="S228" i="2" s="1"/>
  <c r="S229" i="2"/>
  <c r="AA229" i="2"/>
  <c r="P230" i="2"/>
  <c r="Q231" i="2"/>
  <c r="R232" i="2"/>
  <c r="S232" i="2" s="1"/>
  <c r="AA233" i="2"/>
  <c r="P234" i="2"/>
  <c r="Q235" i="2"/>
  <c r="R236" i="2"/>
  <c r="S236" i="2" s="1"/>
  <c r="Q178" i="2"/>
  <c r="R179" i="2"/>
  <c r="S179" i="2" s="1"/>
  <c r="Q182" i="2"/>
  <c r="R183" i="2"/>
  <c r="Q186" i="2"/>
  <c r="R187" i="2"/>
  <c r="S187" i="2" s="1"/>
  <c r="Z187" i="2"/>
  <c r="Q190" i="2"/>
  <c r="R191" i="2"/>
  <c r="S191" i="2" s="1"/>
  <c r="Z191" i="2"/>
  <c r="S192" i="2"/>
  <c r="AA192" i="2"/>
  <c r="Q194" i="2"/>
  <c r="R195" i="2"/>
  <c r="S195" i="2" s="1"/>
  <c r="Z195" i="2"/>
  <c r="AA196" i="2"/>
  <c r="Q198" i="2"/>
  <c r="R199" i="2"/>
  <c r="S199" i="2" s="1"/>
  <c r="Z199" i="2"/>
  <c r="AA200" i="2"/>
  <c r="Q202" i="2"/>
  <c r="R203" i="2"/>
  <c r="Z203" i="2"/>
  <c r="AA204" i="2"/>
  <c r="Q206" i="2"/>
  <c r="R207" i="2"/>
  <c r="S207" i="2" s="1"/>
  <c r="AA208" i="2"/>
  <c r="Q210" i="2"/>
  <c r="R211" i="2"/>
  <c r="S211" i="2" s="1"/>
  <c r="S212" i="2"/>
  <c r="AA212" i="2"/>
  <c r="Q214" i="2"/>
  <c r="R215" i="2"/>
  <c r="S215" i="2" s="1"/>
  <c r="AA216" i="2"/>
  <c r="Q218" i="2"/>
  <c r="R219" i="2"/>
  <c r="S219" i="2" s="1"/>
  <c r="AA220" i="2"/>
  <c r="Q222" i="2"/>
  <c r="R223" i="2"/>
  <c r="S223" i="2" s="1"/>
  <c r="AA224" i="2"/>
  <c r="Q226" i="2"/>
  <c r="R227" i="2"/>
  <c r="S227" i="2" s="1"/>
  <c r="Z227" i="2"/>
  <c r="R231" i="2"/>
  <c r="S231" i="2" s="1"/>
  <c r="Z231" i="2"/>
  <c r="R235" i="2"/>
  <c r="S235" i="2" s="1"/>
  <c r="Z235" i="2"/>
  <c r="R170" i="2"/>
  <c r="R174" i="2"/>
  <c r="R178" i="2"/>
  <c r="R182" i="2"/>
  <c r="R186" i="2"/>
  <c r="Z186" i="2"/>
  <c r="R190" i="2"/>
  <c r="Z190" i="2"/>
  <c r="P192" i="2"/>
  <c r="R194" i="2"/>
  <c r="Z194" i="2"/>
  <c r="P196" i="2"/>
  <c r="R198" i="2"/>
  <c r="Z198" i="2"/>
  <c r="P200" i="2"/>
  <c r="R202" i="2"/>
  <c r="S202" i="2" s="1"/>
  <c r="Z202" i="2"/>
  <c r="P204" i="2"/>
  <c r="R206" i="2"/>
  <c r="Z206" i="2"/>
  <c r="P208" i="2"/>
  <c r="R210" i="2"/>
  <c r="Z210" i="2"/>
  <c r="P212" i="2"/>
  <c r="R214" i="2"/>
  <c r="S214" i="2" s="1"/>
  <c r="Z214" i="2"/>
  <c r="P216" i="2"/>
  <c r="R218" i="2"/>
  <c r="Z218" i="2"/>
  <c r="P220" i="2"/>
  <c r="R222" i="2"/>
  <c r="Z222" i="2"/>
  <c r="P224" i="2"/>
  <c r="R226" i="2"/>
  <c r="S226" i="2" s="1"/>
  <c r="Z226" i="2"/>
  <c r="R230" i="2"/>
  <c r="S230" i="2" s="1"/>
  <c r="Z230" i="2"/>
  <c r="AA231" i="2"/>
  <c r="R234" i="2"/>
  <c r="Z234" i="2"/>
  <c r="AA235" i="2"/>
  <c r="S186" i="2"/>
  <c r="R189" i="2"/>
  <c r="S189" i="2" s="1"/>
  <c r="S190" i="2"/>
  <c r="R193" i="2"/>
  <c r="S194" i="2"/>
  <c r="R197" i="2"/>
  <c r="S197" i="2" s="1"/>
  <c r="S198" i="2"/>
  <c r="R201" i="2"/>
  <c r="R205" i="2"/>
  <c r="S206" i="2"/>
  <c r="R209" i="2"/>
  <c r="S209" i="2" s="1"/>
  <c r="S210" i="2"/>
  <c r="R213" i="2"/>
  <c r="S213" i="2" s="1"/>
  <c r="R217" i="2"/>
  <c r="S217" i="2" s="1"/>
  <c r="S218" i="2"/>
  <c r="R221" i="2"/>
  <c r="S221" i="2" s="1"/>
  <c r="S222" i="2"/>
  <c r="R225" i="2"/>
  <c r="S225" i="2" s="1"/>
  <c r="R229" i="2"/>
  <c r="R233" i="2"/>
  <c r="S233" i="2" s="1"/>
  <c r="S234" i="2"/>
  <c r="R237" i="2"/>
  <c r="S237" i="2" s="1"/>
  <c r="I19" i="3" l="1"/>
  <c r="I14" i="3"/>
  <c r="I17" i="3"/>
  <c r="I13" i="3"/>
  <c r="I16" i="3"/>
  <c r="I12" i="3"/>
  <c r="I20" i="3" s="1"/>
  <c r="I15" i="3"/>
  <c r="I10" i="3"/>
  <c r="I11" i="3" s="1"/>
  <c r="I8" i="3"/>
  <c r="I7" i="3"/>
  <c r="I6" i="3"/>
  <c r="S26" i="2"/>
  <c r="S14" i="2"/>
  <c r="S49" i="2"/>
  <c r="S6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<sst xmlns="http://schemas.openxmlformats.org/spreadsheetml/2006/main" count="2751" uniqueCount="441">
  <si>
    <t>Dashboard de cobranzas y facturación - Dataset ficticio</t>
  </si>
  <si>
    <t>Fecha de análisis</t>
  </si>
  <si>
    <t>Período</t>
  </si>
  <si>
    <t>Últimos 12 meses móviles</t>
  </si>
  <si>
    <t>Total facturado eq. ARS</t>
  </si>
  <si>
    <t>Cliente</t>
  </si>
  <si>
    <t>Saldo eq. ARS</t>
  </si>
  <si>
    <t>Saldo USD</t>
  </si>
  <si>
    <t>Facturas vencidas</t>
  </si>
  <si>
    <t>Total cobrado eq. ARS</t>
  </si>
  <si>
    <t>Punto Sur S.A.</t>
  </si>
  <si>
    <t>Saldo pendiente eq. ARS</t>
  </si>
  <si>
    <t>Faro Administrativo S.A.S.</t>
  </si>
  <si>
    <t>Saldo vencido eq. ARS</t>
  </si>
  <si>
    <t>Zonda Gestión S.R.L.</t>
  </si>
  <si>
    <t>Eje Comercial S.R.L.</t>
  </si>
  <si>
    <t>Saldo pendiente USD</t>
  </si>
  <si>
    <t>Litoral Soluciones S.R.L.</t>
  </si>
  <si>
    <t>Saldo pendiente ARS</t>
  </si>
  <si>
    <t>Delta Gestión PyME S.A.</t>
  </si>
  <si>
    <t>Días promedio de atraso</t>
  </si>
  <si>
    <t>Tango Gestión S.R.L.</t>
  </si>
  <si>
    <t>Unión PyME Servicios S.A.</t>
  </si>
  <si>
    <t>Valle Operativo S.R.L.</t>
  </si>
  <si>
    <t>Mes</t>
  </si>
  <si>
    <t>Facturado eq. ARS</t>
  </si>
  <si>
    <t>Cobrado eq. ARS</t>
  </si>
  <si>
    <t>Facturas</t>
  </si>
  <si>
    <t>Horizonte Servicios S.R.L.</t>
  </si>
  <si>
    <t>id_factura</t>
  </si>
  <si>
    <t>fecha_emision</t>
  </si>
  <si>
    <t>fecha_vencimiento</t>
  </si>
  <si>
    <t>fecha_pago</t>
  </si>
  <si>
    <t>id_cliente</t>
  </si>
  <si>
    <t>cliente</t>
  </si>
  <si>
    <t>tipo_cliente</t>
  </si>
  <si>
    <t>id_servicio</t>
  </si>
  <si>
    <t>tipo_servicio</t>
  </si>
  <si>
    <t>moneda</t>
  </si>
  <si>
    <t>importe_facturado</t>
  </si>
  <si>
    <t>importe_cobrado</t>
  </si>
  <si>
    <t>saldo_pendiente</t>
  </si>
  <si>
    <t>tipo_cambio</t>
  </si>
  <si>
    <t>importe_equivalente_ars</t>
  </si>
  <si>
    <t>saldo_equivalente_ars</t>
  </si>
  <si>
    <t>estado</t>
  </si>
  <si>
    <t>dias_atraso</t>
  </si>
  <si>
    <t>prioridad_cobranza</t>
  </si>
  <si>
    <t>responsable</t>
  </si>
  <si>
    <t>proxima_accion</t>
  </si>
  <si>
    <t>observaciones</t>
  </si>
  <si>
    <t>mes_emision</t>
  </si>
  <si>
    <t>mes_vencimiento</t>
  </si>
  <si>
    <t>trimestre</t>
  </si>
  <si>
    <t>vencida_si_no</t>
  </si>
  <si>
    <t>parcial_si_no</t>
  </si>
  <si>
    <t>exposicion_usd_si_no</t>
  </si>
  <si>
    <t>FAC-00001</t>
  </si>
  <si>
    <t>CL-017</t>
  </si>
  <si>
    <t>PyME servicios recurrentes</t>
  </si>
  <si>
    <t>SRV-002</t>
  </si>
  <si>
    <t>Soporte operativo</t>
  </si>
  <si>
    <t>USD</t>
  </si>
  <si>
    <t>Sofía</t>
  </si>
  <si>
    <t>Sin acción</t>
  </si>
  <si>
    <t>En seguimiento administrativo</t>
  </si>
  <si>
    <t>2025-T3</t>
  </si>
  <si>
    <t>FAC-00002</t>
  </si>
  <si>
    <t>CL-001</t>
  </si>
  <si>
    <t>Altos del Centro S.R.L.</t>
  </si>
  <si>
    <t>SRV-001</t>
  </si>
  <si>
    <t>Abono mensual administrativo</t>
  </si>
  <si>
    <t>ARS</t>
  </si>
  <si>
    <t>Carlos</t>
  </si>
  <si>
    <t>Sin respuesta del cliente</t>
  </si>
  <si>
    <t>FAC-00003</t>
  </si>
  <si>
    <t>CL-011</t>
  </si>
  <si>
    <t>Impulso Gestión S.A.S.</t>
  </si>
  <si>
    <t>Cliente solicita reenvío de factura</t>
  </si>
  <si>
    <t>FAC-00004</t>
  </si>
  <si>
    <t>Pago prometido para próxima semana</t>
  </si>
  <si>
    <t>FAC-00005</t>
  </si>
  <si>
    <t>CL-007</t>
  </si>
  <si>
    <t>Matías</t>
  </si>
  <si>
    <t>FAC-00006</t>
  </si>
  <si>
    <t>CL-023</t>
  </si>
  <si>
    <t>Vector Administración S.A.S.</t>
  </si>
  <si>
    <t>Ana</t>
  </si>
  <si>
    <t>Llamar al cliente</t>
  </si>
  <si>
    <t>FAC-00007</t>
  </si>
  <si>
    <t>CL-008</t>
  </si>
  <si>
    <t>Reenviar factura</t>
  </si>
  <si>
    <t>FAC-00008</t>
  </si>
  <si>
    <t>CL-006</t>
  </si>
  <si>
    <t>FAC-00009</t>
  </si>
  <si>
    <t>Escalar gestión</t>
  </si>
  <si>
    <t>FAC-00010</t>
  </si>
  <si>
    <t>CL-004</t>
  </si>
  <si>
    <t>Base Sur Servicios S.A.S.</t>
  </si>
  <si>
    <t>FAC-00011</t>
  </si>
  <si>
    <t>CL-009</t>
  </si>
  <si>
    <t>Grupo Nexo PyME S.A.</t>
  </si>
  <si>
    <t>FAC-00012</t>
  </si>
  <si>
    <t>FAC-00013</t>
  </si>
  <si>
    <t>CL-010</t>
  </si>
  <si>
    <t>Reclamar saldo parcial</t>
  </si>
  <si>
    <t>Pendiente de confirmación de pago</t>
  </si>
  <si>
    <t>FAC-00014</t>
  </si>
  <si>
    <t>CL-003</t>
  </si>
  <si>
    <t>Arco Norte S.R.L.</t>
  </si>
  <si>
    <t>SRV-005</t>
  </si>
  <si>
    <t>Servicio extraordinario puntual</t>
  </si>
  <si>
    <t>FAC-00015</t>
  </si>
  <si>
    <t>SRV-003</t>
  </si>
  <si>
    <t>Consultoría de gestión</t>
  </si>
  <si>
    <t>FAC-00016</t>
  </si>
  <si>
    <t>FAC-00017</t>
  </si>
  <si>
    <t>FAC-00018</t>
  </si>
  <si>
    <t>CL-021</t>
  </si>
  <si>
    <t>FAC-00019</t>
  </si>
  <si>
    <t>CL-024</t>
  </si>
  <si>
    <t>FAC-00020</t>
  </si>
  <si>
    <t>FAC-00021</t>
  </si>
  <si>
    <t>FAC-00022</t>
  </si>
  <si>
    <t>FAC-00023</t>
  </si>
  <si>
    <t>CL-014</t>
  </si>
  <si>
    <t>Norte Gestión Integral S.R.L.</t>
  </si>
  <si>
    <t>FAC-00024</t>
  </si>
  <si>
    <t>FAC-00025</t>
  </si>
  <si>
    <t>CL-016</t>
  </si>
  <si>
    <t>Patagonia Gestión S.R.L.</t>
  </si>
  <si>
    <t>FAC-00026</t>
  </si>
  <si>
    <t>CL-019</t>
  </si>
  <si>
    <t>Sierra Norte S.A.S.</t>
  </si>
  <si>
    <t>FAC-00027</t>
  </si>
  <si>
    <t>FAC-00028</t>
  </si>
  <si>
    <t>FAC-00029</t>
  </si>
  <si>
    <t>FAC-00030</t>
  </si>
  <si>
    <t>FAC-00031</t>
  </si>
  <si>
    <t>FAC-00032</t>
  </si>
  <si>
    <t>SRV-004</t>
  </si>
  <si>
    <t>Reporte mensual / tablero de control</t>
  </si>
  <si>
    <t>FAC-00033</t>
  </si>
  <si>
    <t>CL-018</t>
  </si>
  <si>
    <t>Río Claro Servicios S.R.L.</t>
  </si>
  <si>
    <t>FAC-00034</t>
  </si>
  <si>
    <t>FAC-00035</t>
  </si>
  <si>
    <t>FAC-00036</t>
  </si>
  <si>
    <t>FAC-00037</t>
  </si>
  <si>
    <t>FAC-00038</t>
  </si>
  <si>
    <t>FAC-00039</t>
  </si>
  <si>
    <t>FAC-00040</t>
  </si>
  <si>
    <t>FAC-00041</t>
  </si>
  <si>
    <t>FAC-00042</t>
  </si>
  <si>
    <t>FAC-00043</t>
  </si>
  <si>
    <t>FAC-00044</t>
  </si>
  <si>
    <t>FAC-00045</t>
  </si>
  <si>
    <t>FAC-00046</t>
  </si>
  <si>
    <t>FAC-00047</t>
  </si>
  <si>
    <t>FAC-00048</t>
  </si>
  <si>
    <t>CL-012</t>
  </si>
  <si>
    <t>FAC-00049</t>
  </si>
  <si>
    <t>CL-015</t>
  </si>
  <si>
    <t>Órbita Servicios S.A.S.</t>
  </si>
  <si>
    <t>FAC-00050</t>
  </si>
  <si>
    <t>CL-005</t>
  </si>
  <si>
    <t>Cerro Azul S.R.L.</t>
  </si>
  <si>
    <t>2025-T4</t>
  </si>
  <si>
    <t>FAC-00051</t>
  </si>
  <si>
    <t>FAC-00052</t>
  </si>
  <si>
    <t>FAC-00053</t>
  </si>
  <si>
    <t>CL-020</t>
  </si>
  <si>
    <t>FAC-00054</t>
  </si>
  <si>
    <t>FAC-00055</t>
  </si>
  <si>
    <t>FAC-00056</t>
  </si>
  <si>
    <t>FAC-00057</t>
  </si>
  <si>
    <t>FAC-00058</t>
  </si>
  <si>
    <t>FAC-00059</t>
  </si>
  <si>
    <t>CL-022</t>
  </si>
  <si>
    <t>Enviar recordatorio</t>
  </si>
  <si>
    <t>FAC-00060</t>
  </si>
  <si>
    <t>FAC-00061</t>
  </si>
  <si>
    <t>FAC-00062</t>
  </si>
  <si>
    <t>FAC-00063</t>
  </si>
  <si>
    <t>FAC-00064</t>
  </si>
  <si>
    <t>CL-013</t>
  </si>
  <si>
    <t>Mercurio PyME S.A.</t>
  </si>
  <si>
    <t>FAC-00065</t>
  </si>
  <si>
    <t>FAC-00066</t>
  </si>
  <si>
    <t>FAC-00067</t>
  </si>
  <si>
    <t>FAC-00068</t>
  </si>
  <si>
    <t>FAC-00069</t>
  </si>
  <si>
    <t>FAC-00070</t>
  </si>
  <si>
    <t>FAC-00071</t>
  </si>
  <si>
    <t>FAC-00072</t>
  </si>
  <si>
    <t>FAC-00073</t>
  </si>
  <si>
    <t>FAC-00074</t>
  </si>
  <si>
    <t>FAC-00075</t>
  </si>
  <si>
    <t>FAC-00076</t>
  </si>
  <si>
    <t>FAC-00077</t>
  </si>
  <si>
    <t>FAC-00078</t>
  </si>
  <si>
    <t>FAC-00079</t>
  </si>
  <si>
    <t>FAC-00080</t>
  </si>
  <si>
    <t>FAC-00081</t>
  </si>
  <si>
    <t>FAC-00082</t>
  </si>
  <si>
    <t>FAC-00083</t>
  </si>
  <si>
    <t>CL-002</t>
  </si>
  <si>
    <t>Andes Gestión S.A.</t>
  </si>
  <si>
    <t>FAC-00084</t>
  </si>
  <si>
    <t>FAC-00085</t>
  </si>
  <si>
    <t>FAC-00086</t>
  </si>
  <si>
    <t>FAC-00087</t>
  </si>
  <si>
    <t>FAC-00088</t>
  </si>
  <si>
    <t>FAC-00089</t>
  </si>
  <si>
    <t>FAC-00090</t>
  </si>
  <si>
    <t>FAC-00091</t>
  </si>
  <si>
    <t>FAC-00092</t>
  </si>
  <si>
    <t>FAC-00093</t>
  </si>
  <si>
    <t>FAC-00094</t>
  </si>
  <si>
    <t>FAC-00095</t>
  </si>
  <si>
    <t>FAC-00096</t>
  </si>
  <si>
    <t>FAC-00097</t>
  </si>
  <si>
    <t>FAC-00098</t>
  </si>
  <si>
    <t>FAC-00099</t>
  </si>
  <si>
    <t>FAC-00100</t>
  </si>
  <si>
    <t>FAC-00101</t>
  </si>
  <si>
    <t>FAC-00102</t>
  </si>
  <si>
    <t>FAC-00103</t>
  </si>
  <si>
    <t>FAC-00104</t>
  </si>
  <si>
    <t>FAC-00105</t>
  </si>
  <si>
    <t>FAC-00106</t>
  </si>
  <si>
    <t>FAC-00107</t>
  </si>
  <si>
    <t>FAC-00108</t>
  </si>
  <si>
    <t>FAC-00109</t>
  </si>
  <si>
    <t>FAC-00110</t>
  </si>
  <si>
    <t>FAC-00111</t>
  </si>
  <si>
    <t>FAC-00112</t>
  </si>
  <si>
    <t>2026-T1</t>
  </si>
  <si>
    <t>FAC-00113</t>
  </si>
  <si>
    <t>FAC-00114</t>
  </si>
  <si>
    <t>FAC-00115</t>
  </si>
  <si>
    <t>FAC-00116</t>
  </si>
  <si>
    <t>FAC-00117</t>
  </si>
  <si>
    <t>FAC-00118</t>
  </si>
  <si>
    <t>FAC-00119</t>
  </si>
  <si>
    <t>FAC-00120</t>
  </si>
  <si>
    <t>FAC-00121</t>
  </si>
  <si>
    <t>FAC-00122</t>
  </si>
  <si>
    <t>FAC-00123</t>
  </si>
  <si>
    <t>FAC-00124</t>
  </si>
  <si>
    <t>FAC-00125</t>
  </si>
  <si>
    <t>FAC-00126</t>
  </si>
  <si>
    <t>FAC-00127</t>
  </si>
  <si>
    <t>FAC-00128</t>
  </si>
  <si>
    <t>FAC-00129</t>
  </si>
  <si>
    <t>FAC-00130</t>
  </si>
  <si>
    <t>FAC-00131</t>
  </si>
  <si>
    <t>FAC-00132</t>
  </si>
  <si>
    <t>FAC-00133</t>
  </si>
  <si>
    <t>FAC-00134</t>
  </si>
  <si>
    <t>FAC-00135</t>
  </si>
  <si>
    <t>FAC-00136</t>
  </si>
  <si>
    <t>FAC-00137</t>
  </si>
  <si>
    <t>FAC-00138</t>
  </si>
  <si>
    <t>FAC-00139</t>
  </si>
  <si>
    <t>FAC-00140</t>
  </si>
  <si>
    <t>FAC-00141</t>
  </si>
  <si>
    <t>FAC-00142</t>
  </si>
  <si>
    <t>FAC-00143</t>
  </si>
  <si>
    <t>FAC-00144</t>
  </si>
  <si>
    <t>FAC-00145</t>
  </si>
  <si>
    <t>FAC-00146</t>
  </si>
  <si>
    <t>FAC-00147</t>
  </si>
  <si>
    <t>FAC-00148</t>
  </si>
  <si>
    <t>FAC-00149</t>
  </si>
  <si>
    <t>FAC-00150</t>
  </si>
  <si>
    <t>FAC-00151</t>
  </si>
  <si>
    <t>FAC-00152</t>
  </si>
  <si>
    <t>FAC-00153</t>
  </si>
  <si>
    <t>FAC-00154</t>
  </si>
  <si>
    <t>FAC-00155</t>
  </si>
  <si>
    <t>FAC-00156</t>
  </si>
  <si>
    <t>FAC-00157</t>
  </si>
  <si>
    <t>FAC-00158</t>
  </si>
  <si>
    <t>FAC-00159</t>
  </si>
  <si>
    <t>FAC-00160</t>
  </si>
  <si>
    <t>FAC-00161</t>
  </si>
  <si>
    <t>FAC-00162</t>
  </si>
  <si>
    <t>FAC-00163</t>
  </si>
  <si>
    <t>FAC-00164</t>
  </si>
  <si>
    <t>FAC-00165</t>
  </si>
  <si>
    <t>FAC-00166</t>
  </si>
  <si>
    <t>FAC-00167</t>
  </si>
  <si>
    <t>FAC-00168</t>
  </si>
  <si>
    <t>FAC-00169</t>
  </si>
  <si>
    <t>FAC-00170</t>
  </si>
  <si>
    <t>FAC-00171</t>
  </si>
  <si>
    <t>FAC-00172</t>
  </si>
  <si>
    <t>2026-T2</t>
  </si>
  <si>
    <t>FAC-00173</t>
  </si>
  <si>
    <t>FAC-00174</t>
  </si>
  <si>
    <t>FAC-00175</t>
  </si>
  <si>
    <t>FAC-00176</t>
  </si>
  <si>
    <t>FAC-00177</t>
  </si>
  <si>
    <t>FAC-00178</t>
  </si>
  <si>
    <t>FAC-00179</t>
  </si>
  <si>
    <t>FAC-00180</t>
  </si>
  <si>
    <t>FAC-00181</t>
  </si>
  <si>
    <t>FAC-00182</t>
  </si>
  <si>
    <t>FAC-00183</t>
  </si>
  <si>
    <t>FAC-00184</t>
  </si>
  <si>
    <t>FAC-00185</t>
  </si>
  <si>
    <t>FAC-00186</t>
  </si>
  <si>
    <t>FAC-00187</t>
  </si>
  <si>
    <t>FAC-00188</t>
  </si>
  <si>
    <t>FAC-00189</t>
  </si>
  <si>
    <t>FAC-00190</t>
  </si>
  <si>
    <t>FAC-00191</t>
  </si>
  <si>
    <t>FAC-00192</t>
  </si>
  <si>
    <t>FAC-00193</t>
  </si>
  <si>
    <t>FAC-00194</t>
  </si>
  <si>
    <t>FAC-00195</t>
  </si>
  <si>
    <t>FAC-00196</t>
  </si>
  <si>
    <t>FAC-00197</t>
  </si>
  <si>
    <t>FAC-00198</t>
  </si>
  <si>
    <t>Monitorear vencimiento</t>
  </si>
  <si>
    <t>FAC-00199</t>
  </si>
  <si>
    <t>FAC-00200</t>
  </si>
  <si>
    <t>FAC-00201</t>
  </si>
  <si>
    <t>FAC-00202</t>
  </si>
  <si>
    <t>FAC-00203</t>
  </si>
  <si>
    <t>FAC-00204</t>
  </si>
  <si>
    <t>FAC-00205</t>
  </si>
  <si>
    <t>FAC-00206</t>
  </si>
  <si>
    <t>FAC-00207</t>
  </si>
  <si>
    <t>FAC-00208</t>
  </si>
  <si>
    <t>FAC-00209</t>
  </si>
  <si>
    <t>FAC-00210</t>
  </si>
  <si>
    <t>FAC-00211</t>
  </si>
  <si>
    <t>FAC-00212</t>
  </si>
  <si>
    <t>FAC-00213</t>
  </si>
  <si>
    <t>FAC-00214</t>
  </si>
  <si>
    <t>FAC-00215</t>
  </si>
  <si>
    <t>FAC-00216</t>
  </si>
  <si>
    <t>FAC-00217</t>
  </si>
  <si>
    <t>FAC-00218</t>
  </si>
  <si>
    <t>FAC-00219</t>
  </si>
  <si>
    <t>FAC-00220</t>
  </si>
  <si>
    <t>FAC-00221</t>
  </si>
  <si>
    <t>FAC-00222</t>
  </si>
  <si>
    <t>FAC-00223</t>
  </si>
  <si>
    <t>FAC-00224</t>
  </si>
  <si>
    <t>FAC-00225</t>
  </si>
  <si>
    <t>FAC-00226</t>
  </si>
  <si>
    <t>FAC-00227</t>
  </si>
  <si>
    <t>FAC-00228</t>
  </si>
  <si>
    <t>FAC-00229</t>
  </si>
  <si>
    <t>FAC-00230</t>
  </si>
  <si>
    <t>FAC-00231</t>
  </si>
  <si>
    <t>2026-T3</t>
  </si>
  <si>
    <t>FAC-00232</t>
  </si>
  <si>
    <t>FAC-00233</t>
  </si>
  <si>
    <t>FAC-00234</t>
  </si>
  <si>
    <t>FAC-00235</t>
  </si>
  <si>
    <t>FAC-00236</t>
  </si>
  <si>
    <t>condicion_pago_dias</t>
  </si>
  <si>
    <t>perfil_pago</t>
  </si>
  <si>
    <t>Selector y resumen por cliente</t>
  </si>
  <si>
    <t>Elegir cliente</t>
  </si>
  <si>
    <t>condición_pago_días</t>
  </si>
  <si>
    <t>total_facturado_eq_ars</t>
  </si>
  <si>
    <t>total_cobrado_eq_ars</t>
  </si>
  <si>
    <t>saldo_pendiente_eq_ars</t>
  </si>
  <si>
    <t>saldo_pendiente_usd</t>
  </si>
  <si>
    <t>facturas_abiertas</t>
  </si>
  <si>
    <t>facturas_vencidas</t>
  </si>
  <si>
    <t>mora_promedio_días</t>
  </si>
  <si>
    <t>última_factura</t>
  </si>
  <si>
    <t>próxima_acción</t>
  </si>
  <si>
    <t>vencimiento_más_antiguo_pendiente</t>
  </si>
  <si>
    <t>tiene_deuda</t>
  </si>
  <si>
    <t>moneda_principal</t>
  </si>
  <si>
    <t>facturas</t>
  </si>
  <si>
    <t>facturado_usd_original</t>
  </si>
  <si>
    <t>observación</t>
  </si>
  <si>
    <t>mes</t>
  </si>
  <si>
    <t>tipo_cambio_referencia</t>
  </si>
  <si>
    <t>nota</t>
  </si>
  <si>
    <t>Tipo de cambio ficticio para portfolio</t>
  </si>
  <si>
    <t>Campo</t>
  </si>
  <si>
    <t>Descripción</t>
  </si>
  <si>
    <t>Tipo / uso</t>
  </si>
  <si>
    <t>Identificador único de factura</t>
  </si>
  <si>
    <t>Texto</t>
  </si>
  <si>
    <t>Fecha de emisión de la factura</t>
  </si>
  <si>
    <t>Fecha</t>
  </si>
  <si>
    <t>Fecha límite de pago</t>
  </si>
  <si>
    <t>Fecha de pago total o parcial</t>
  </si>
  <si>
    <t>Cliente ficticio de la PyME</t>
  </si>
  <si>
    <t>Servicio facturado</t>
  </si>
  <si>
    <t>Categoría</t>
  </si>
  <si>
    <t>Moneda original de la factura</t>
  </si>
  <si>
    <t>ARS / USD</t>
  </si>
  <si>
    <t>Importe original facturado</t>
  </si>
  <si>
    <t>Número</t>
  </si>
  <si>
    <t>Importe cobrado a la fecha</t>
  </si>
  <si>
    <t>Importe facturado menos importe cobrado</t>
  </si>
  <si>
    <t>Fórmula</t>
  </si>
  <si>
    <t>Tipo de cambio ficticio usado para convertir USD a ARS</t>
  </si>
  <si>
    <t>Importe facturado expresado en ARS</t>
  </si>
  <si>
    <t>Saldo pendiente expresado en ARS</t>
  </si>
  <si>
    <t>Estado de cobranza según saldo, pago y vencimiento</t>
  </si>
  <si>
    <t>Días de atraso según fecha de análisis</t>
  </si>
  <si>
    <t>Priorización sugerida para la gestión</t>
  </si>
  <si>
    <t>Acción sugerida o pendiente</t>
  </si>
  <si>
    <t>Primer día del mes de emisión para análisis mensual</t>
  </si>
  <si>
    <t>Marca facturas vencidas con saldo pendiente</t>
  </si>
  <si>
    <t>Portfolio · Dashboard de cobranzas y facturación</t>
  </si>
  <si>
    <t>Objetivo</t>
  </si>
  <si>
    <t>Dataset ficticio para construir un dashboard de cobranzas y facturación orientado a PyMEs.</t>
  </si>
  <si>
    <t>Alcance</t>
  </si>
  <si>
    <t>Últimos 12 meses móviles, clientes del mismo tipo, facturación en ARS y USD.</t>
  </si>
  <si>
    <t>Flujo sugerido</t>
  </si>
  <si>
    <t>Python genera/enriquece datos → Excel revisa base → Power BI visualiza → Notion documenta el caso.</t>
  </si>
  <si>
    <t>2026-07-01</t>
  </si>
  <si>
    <t>Hojas incluidas</t>
  </si>
  <si>
    <t>Resumen, Facturas, Clientes, Servicios, Tipo_Cambio, Diccionario.</t>
  </si>
  <si>
    <t>Nota</t>
  </si>
  <si>
    <t>Todos los datos son ficticios y fueron generados para uso de portfolio.</t>
  </si>
  <si>
    <t>Mejoras aplicadas</t>
  </si>
  <si>
    <t>Clientes y Servicios ahora se alimentan automáticamente desde Facturas con fórmulas.</t>
  </si>
  <si>
    <t>Selector de cliente</t>
  </si>
  <si>
    <t>En Clientes!I3 hay un desplegable por nombre de cliente con resumen automático de deuda y actividad.</t>
  </si>
  <si>
    <t>TopClientesTable</t>
  </si>
  <si>
    <t>En Resumen se agregó una nota de origen: sale de Facturas agrupadas por cliente.</t>
  </si>
  <si>
    <t>MVP</t>
  </si>
  <si>
    <t>Se mantiene un solo tipo de cliente para claridad; multi-rubro queda como mejora futura.</t>
  </si>
  <si>
    <t>Bimoneda</t>
  </si>
  <si>
    <t>El dataset conserva ARS y USD con equivalentes en ARS.</t>
  </si>
  <si>
    <t>Flujo</t>
  </si>
  <si>
    <t>Python/Excel como base de datos, y luego conexión a Power BI.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</si>
</sst>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yyyy\-mm"/>
    <numFmt numFmtId="166" formatCode="\$\ #,##0.00"/>
    <numFmt numFmtId="167" formatCode="&quot;$&quot;\ #,##0.00"/>
  </numFmts>
  <fonts count="6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  <font>
      <b/>
      <sz val="11"/>
      <color rgb="FF7F6000"/>
      <name val="Carlito"/>
    </font>
    <font>
      <b/>
      <sz val="16"/>
      <color rgb="FFFFFFFF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0F766E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AF2F8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  <xf numFmtId="4" fontId="0" fillId="0" borderId="0" xfId="0" applyNumberFormat="1"/>
    <xf numFmtId="1" fontId="0" fillId="0" borderId="0" xfId="0" applyNumberFormat="1"/>
    <xf numFmtId="0" fontId="1" fillId="2" borderId="0" xfId="0" applyFont="1" applyFill="1" applyAlignment="1">
      <alignment horizontal="center"/>
    </xf>
    <xf numFmtId="165" fontId="0" fillId="0" borderId="0" xfId="0" applyNumberFormat="1"/>
    <xf numFmtId="0" fontId="3" fillId="3" borderId="0" xfId="0" applyFont="1" applyFill="1"/>
    <xf numFmtId="0" fontId="0" fillId="0" borderId="0" xfId="0" applyAlignment="1">
      <alignment wrapText="1"/>
    </xf>
    <xf numFmtId="0" fontId="3" fillId="3" borderId="0" xfId="0" applyFont="1" applyFill="1" applyAlignment="1">
      <alignment wrapText="1"/>
    </xf>
    <xf numFmtId="0" fontId="1" fillId="4" borderId="0" xfId="0" applyFont="1" applyFill="1" applyAlignment="1">
      <alignment horizontal="center" vertical="center"/>
    </xf>
    <xf numFmtId="0" fontId="3" fillId="6" borderId="0" xfId="0" applyFont="1" applyFill="1"/>
    <xf numFmtId="0" fontId="3" fillId="7" borderId="0" xfId="0" applyFont="1" applyFill="1"/>
    <xf numFmtId="0" fontId="3" fillId="8" borderId="0" xfId="0" applyFont="1" applyFill="1"/>
    <xf numFmtId="166" fontId="0" fillId="0" borderId="0" xfId="0" applyNumberFormat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/>
    <xf numFmtId="0" fontId="1" fillId="4" borderId="2" xfId="0" applyFont="1" applyFill="1" applyBorder="1" applyAlignment="1">
      <alignment horizontal="center" vertical="center" wrapText="1"/>
    </xf>
    <xf numFmtId="167" fontId="0" fillId="0" borderId="0" xfId="0" applyNumberFormat="1"/>
    <xf numFmtId="0" fontId="4" fillId="0" borderId="0" xfId="0" applyFont="1" applyAlignment="1">
      <alignment wrapText="1"/>
    </xf>
    <xf numFmtId="14" fontId="3" fillId="3" borderId="0" xfId="0" applyNumberFormat="1" applyFont="1" applyFill="1"/>
    <xf numFmtId="0" fontId="3" fillId="9" borderId="0" xfId="0" applyFont="1" applyFill="1"/>
    <xf numFmtId="167" fontId="3" fillId="9" borderId="0" xfId="0" applyNumberFormat="1" applyFont="1" applyFill="1"/>
    <xf numFmtId="1" fontId="3" fillId="9" borderId="0" xfId="0" applyNumberFormat="1" applyFont="1" applyFill="1"/>
    <xf numFmtId="0" fontId="2" fillId="2" borderId="0" xfId="0" applyFont="1" applyFill="1" applyAlignment="1">
      <alignment horizontal="center"/>
    </xf>
    <xf numFmtId="0" fontId="0" fillId="0" borderId="0" xfId="0"/>
    <xf numFmtId="0" fontId="5" fillId="5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9">
    <dxf>
      <font>
        <b/>
        <color rgb="FFB91C1C"/>
      </font>
      <fill>
        <patternFill patternType="solid">
          <bgColor rgb="FFFECACA"/>
        </patternFill>
      </fill>
    </dxf>
    <dxf>
      <font>
        <b/>
        <color rgb="FFB91C1C"/>
      </font>
      <fill>
        <patternFill patternType="solid">
          <bgColor rgb="FFFECACA"/>
        </patternFill>
      </fill>
    </dxf>
    <dxf>
      <fill>
        <patternFill>
          <bgColor rgb="FFFFF2CC"/>
        </patternFill>
      </fill>
    </dxf>
    <dxf>
      <font>
        <b/>
      </font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numFmt numFmtId="167" formatCode="&quot;$&quot;\ #,##0.00"/>
    </dxf>
    <dxf>
      <numFmt numFmtId="167" formatCode="&quot;$&quot;\ #,##0.00"/>
    </dxf>
    <dxf>
      <numFmt numFmtId="167" formatCode="&quot;$&quot;\ #,##0.00"/>
    </dxf>
  </dxfs>
  <tableStyles count="0" defaultTableStyle="TableStyleMedium2" defaultPivotStyle="PivotStyleLight16"/>
  <colors>
    <mruColors>
      <color rgb="FFEAF2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Facturado</c:v>
          </c:tx>
          <c:invertIfNegative val="1"/>
          <c:cat>
            <c:numRef>
              <c:f>Resumen!$A$16:$A$27</c:f>
              <c:numCache>
                <c:formatCode>yyyy\-mm</c:formatCode>
                <c:ptCount val="12"/>
                <c:pt idx="0">
                  <c:v>45870</c:v>
                </c:pt>
                <c:pt idx="1">
                  <c:v>45901</c:v>
                </c:pt>
                <c:pt idx="2">
                  <c:v>45931</c:v>
                </c:pt>
                <c:pt idx="3">
                  <c:v>45962</c:v>
                </c:pt>
                <c:pt idx="4">
                  <c:v>45992</c:v>
                </c:pt>
                <c:pt idx="5">
                  <c:v>46023</c:v>
                </c:pt>
                <c:pt idx="6">
                  <c:v>46054</c:v>
                </c:pt>
                <c:pt idx="7">
                  <c:v>46082</c:v>
                </c:pt>
                <c:pt idx="8">
                  <c:v>46113</c:v>
                </c:pt>
                <c:pt idx="9">
                  <c:v>46143</c:v>
                </c:pt>
                <c:pt idx="10">
                  <c:v>46174</c:v>
                </c:pt>
                <c:pt idx="11">
                  <c:v>46204</c:v>
                </c:pt>
              </c:numCache>
            </c:numRef>
          </c:cat>
          <c:val>
            <c:numRef>
              <c:f>Resumen!$B$16:$B$27</c:f>
              <c:numCache>
                <c:formatCode>"$"\ #,##0.00</c:formatCode>
                <c:ptCount val="12"/>
                <c:pt idx="0">
                  <c:v>3704100</c:v>
                </c:pt>
                <c:pt idx="1">
                  <c:v>20773950</c:v>
                </c:pt>
                <c:pt idx="2">
                  <c:v>23711000</c:v>
                </c:pt>
                <c:pt idx="3">
                  <c:v>16569400</c:v>
                </c:pt>
                <c:pt idx="4">
                  <c:v>17651600</c:v>
                </c:pt>
                <c:pt idx="5">
                  <c:v>24548150</c:v>
                </c:pt>
                <c:pt idx="6">
                  <c:v>19353750</c:v>
                </c:pt>
                <c:pt idx="7">
                  <c:v>15703050</c:v>
                </c:pt>
                <c:pt idx="8">
                  <c:v>22387600</c:v>
                </c:pt>
                <c:pt idx="9">
                  <c:v>21757400</c:v>
                </c:pt>
                <c:pt idx="10">
                  <c:v>21501600</c:v>
                </c:pt>
                <c:pt idx="11">
                  <c:v>17034950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F8-4B59-B13A-44AF8A63AF42}"/>
            </c:ext>
          </c:extLst>
        </c:ser>
        <c:ser>
          <c:idx val="1"/>
          <c:order val="1"/>
          <c:tx>
            <c:v>Cobrado</c:v>
          </c:tx>
          <c:invertIfNegative val="1"/>
          <c:cat>
            <c:numRef>
              <c:f>Resumen!$A$16:$A$27</c:f>
              <c:numCache>
                <c:formatCode>yyyy\-mm</c:formatCode>
                <c:ptCount val="12"/>
                <c:pt idx="0">
                  <c:v>45870</c:v>
                </c:pt>
                <c:pt idx="1">
                  <c:v>45901</c:v>
                </c:pt>
                <c:pt idx="2">
                  <c:v>45931</c:v>
                </c:pt>
                <c:pt idx="3">
                  <c:v>45962</c:v>
                </c:pt>
                <c:pt idx="4">
                  <c:v>45992</c:v>
                </c:pt>
                <c:pt idx="5">
                  <c:v>46023</c:v>
                </c:pt>
                <c:pt idx="6">
                  <c:v>46054</c:v>
                </c:pt>
                <c:pt idx="7">
                  <c:v>46082</c:v>
                </c:pt>
                <c:pt idx="8">
                  <c:v>46113</c:v>
                </c:pt>
                <c:pt idx="9">
                  <c:v>46143</c:v>
                </c:pt>
                <c:pt idx="10">
                  <c:v>46174</c:v>
                </c:pt>
                <c:pt idx="11">
                  <c:v>46204</c:v>
                </c:pt>
              </c:numCache>
            </c:numRef>
          </c:cat>
          <c:val>
            <c:numRef>
              <c:f>Resumen!$C$16:$C$27</c:f>
              <c:numCache>
                <c:formatCode>"$"\ #,##0.00</c:formatCode>
                <c:ptCount val="12"/>
                <c:pt idx="0">
                  <c:v>16600184.880000001</c:v>
                </c:pt>
                <c:pt idx="1">
                  <c:v>20679058.350000001</c:v>
                </c:pt>
                <c:pt idx="2">
                  <c:v>11278097.07</c:v>
                </c:pt>
                <c:pt idx="3">
                  <c:v>13312637.969999999</c:v>
                </c:pt>
                <c:pt idx="4">
                  <c:v>18702785.309999999</c:v>
                </c:pt>
                <c:pt idx="5">
                  <c:v>9901392.4000000004</c:v>
                </c:pt>
                <c:pt idx="6">
                  <c:v>15368372.559999999</c:v>
                </c:pt>
                <c:pt idx="7">
                  <c:v>15938710.49</c:v>
                </c:pt>
                <c:pt idx="8">
                  <c:v>13545448.67</c:v>
                </c:pt>
                <c:pt idx="9">
                  <c:v>7615289.25</c:v>
                </c:pt>
                <c:pt idx="10">
                  <c:v>3784550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F8-4B59-B13A-44AF8A63AF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date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yyyy\-mm" sourceLinked="1"/>
        <c:majorTickMark val="none"/>
        <c:minorTickMark val="none"/>
        <c:tickLblPos val="nextTo"/>
        <c:crossAx val="48672768"/>
        <c:crosses val="autoZero"/>
        <c:auto val="1"/>
        <c:lblOffset val="100"/>
        <c:baseTimeUnit val="months"/>
      </c:date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&quot;$&quot;\ 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Saldo eq. ARS</c:v>
          </c:tx>
          <c:invertIfNegative val="1"/>
          <c:cat>
            <c:strRef>
              <c:f>Resumen!$G$16:$G$25</c:f>
              <c:strCache>
                <c:ptCount val="10"/>
                <c:pt idx="0">
                  <c:v>Punto Sur S.A.</c:v>
                </c:pt>
                <c:pt idx="1">
                  <c:v>Faro Administrativo S.A.S.</c:v>
                </c:pt>
                <c:pt idx="2">
                  <c:v>Zonda Gestión S.R.L.</c:v>
                </c:pt>
                <c:pt idx="3">
                  <c:v>Eje Comercial S.R.L.</c:v>
                </c:pt>
                <c:pt idx="4">
                  <c:v>Litoral Soluciones S.R.L.</c:v>
                </c:pt>
                <c:pt idx="5">
                  <c:v>Delta Gestión PyME S.A.</c:v>
                </c:pt>
                <c:pt idx="6">
                  <c:v>Tango Gestión S.R.L.</c:v>
                </c:pt>
                <c:pt idx="7">
                  <c:v>Unión PyME Servicios S.A.</c:v>
                </c:pt>
                <c:pt idx="8">
                  <c:v>Valle Operativo S.R.L.</c:v>
                </c:pt>
                <c:pt idx="9">
                  <c:v>Horizonte Servicios S.R.L.</c:v>
                </c:pt>
              </c:strCache>
            </c:strRef>
          </c:cat>
          <c:val>
            <c:numRef>
              <c:f>Resumen!$H$16:$H$25</c:f>
              <c:numCache>
                <c:formatCode>"$"\ #,##0.00</c:formatCode>
                <c:ptCount val="10"/>
                <c:pt idx="0">
                  <c:v>7879766.8700000001</c:v>
                </c:pt>
                <c:pt idx="1">
                  <c:v>7812484.0199999996</c:v>
                </c:pt>
                <c:pt idx="2">
                  <c:v>5830413.1199999992</c:v>
                </c:pt>
                <c:pt idx="3">
                  <c:v>5290699.46</c:v>
                </c:pt>
                <c:pt idx="4">
                  <c:v>5259586.84</c:v>
                </c:pt>
                <c:pt idx="5">
                  <c:v>5153400</c:v>
                </c:pt>
                <c:pt idx="6">
                  <c:v>5142413.46</c:v>
                </c:pt>
                <c:pt idx="7">
                  <c:v>4839847.21</c:v>
                </c:pt>
                <c:pt idx="8">
                  <c:v>4540110.57</c:v>
                </c:pt>
                <c:pt idx="9">
                  <c:v>3787788.59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22-4885-AF08-236D77C6E6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&quot;$&quot;\ 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29</xdr:row>
      <xdr:rowOff>0</xdr:rowOff>
    </xdr:from>
    <xdr:ext cx="7600950" cy="30480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133349</xdr:colOff>
      <xdr:row>29</xdr:row>
      <xdr:rowOff>38100</xdr:rowOff>
    </xdr:from>
    <xdr:ext cx="7762875" cy="3048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ResumenMensualTable" displayName="ResumenMensualTable" ref="A15:E27">
  <tableColumns count="5">
    <tableColumn id="1" xr3:uid="{00000000-0010-0000-0000-000001000000}" name="Mes"/>
    <tableColumn id="2" xr3:uid="{00000000-0010-0000-0000-000002000000}" name="Facturado eq. ARS" dataDxfId="8">
      <calculatedColumnFormula>SUMIFS(FacturasTable[importe_equivalente_ars],FacturasTable[mes_vencimiento],A16)</calculatedColumnFormula>
    </tableColumn>
    <tableColumn id="3" xr3:uid="{00000000-0010-0000-0000-000003000000}" name="Cobrado eq. ARS" dataDxfId="7">
      <calculatedColumnFormula>SUMIFS(FacturasTable[importe_equivalente_ars],FacturasTable[mes_emision],A16)-SUMIFS(FacturasTable[saldo_equivalente_ars],FacturasTable[mes_emision],A16)</calculatedColumnFormula>
    </tableColumn>
    <tableColumn id="4" xr3:uid="{00000000-0010-0000-0000-000004000000}" name="Saldo eq. ARS" dataDxfId="6">
      <calculatedColumnFormula>SUMIFS(FacturasTable[saldo_equivalente_ars],FacturasTable[mes_emision],A16)</calculatedColumnFormula>
    </tableColumn>
    <tableColumn id="5" xr3:uid="{00000000-0010-0000-0000-000005000000}" name="Facturas">
      <calculatedColumnFormula>COUNTIFS(FacturasTable[mes_emision],A16)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opClientesTable" displayName="TopClientesTable" ref="G15:J25">
  <tableColumns count="4">
    <tableColumn id="1" xr3:uid="{00000000-0010-0000-0100-000001000000}" name="Cliente"/>
    <tableColumn id="2" xr3:uid="{00000000-0010-0000-0100-000002000000}" name="Saldo eq. ARS">
      <calculatedColumnFormula>+SUMIF(FacturasTable[cliente],TopClientesTable[[#This Row],[Cliente]],FacturasTable[saldo_equivalente_ars])</calculatedColumnFormula>
    </tableColumn>
    <tableColumn id="3" xr3:uid="{00000000-0010-0000-0100-000003000000}" name="Saldo USD">
      <calculatedColumnFormula>IF($G16="","",SUMIFS(FacturasTable[saldo_pendiente],FacturasTable[cliente],$G16,FacturasTable[moneda],"USD"))</calculatedColumnFormula>
    </tableColumn>
    <tableColumn id="4" xr3:uid="{00000000-0010-0000-0100-000004000000}" name="Facturas vencidas">
      <calculatedColumnFormula>+IF($G16="","",COUNTIFS(FacturasTable[cliente],$G16,FacturasTable[estado],"Vencida"))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FacturasTable" displayName="FacturasTable" ref="A1:AB237">
  <tableColumns count="28">
    <tableColumn id="1" xr3:uid="{00000000-0010-0000-0200-000001000000}" name="id_factura"/>
    <tableColumn id="2" xr3:uid="{00000000-0010-0000-0200-000002000000}" name="fecha_emision"/>
    <tableColumn id="3" xr3:uid="{00000000-0010-0000-0200-000003000000}" name="fecha_vencimiento"/>
    <tableColumn id="4" xr3:uid="{00000000-0010-0000-0200-000004000000}" name="fecha_pago"/>
    <tableColumn id="5" xr3:uid="{00000000-0010-0000-0200-000005000000}" name="id_cliente"/>
    <tableColumn id="6" xr3:uid="{00000000-0010-0000-0200-000006000000}" name="cliente"/>
    <tableColumn id="7" xr3:uid="{00000000-0010-0000-0200-000007000000}" name="tipo_cliente"/>
    <tableColumn id="8" xr3:uid="{00000000-0010-0000-0200-000008000000}" name="id_servicio"/>
    <tableColumn id="9" xr3:uid="{00000000-0010-0000-0200-000009000000}" name="tipo_servicio"/>
    <tableColumn id="10" xr3:uid="{00000000-0010-0000-0200-00000A000000}" name="moneda"/>
    <tableColumn id="11" xr3:uid="{00000000-0010-0000-0200-00000B000000}" name="importe_facturado"/>
    <tableColumn id="12" xr3:uid="{00000000-0010-0000-0200-00000C000000}" name="importe_cobrado"/>
    <tableColumn id="13" xr3:uid="{00000000-0010-0000-0200-00000D000000}" name="saldo_pendiente"/>
    <tableColumn id="14" xr3:uid="{00000000-0010-0000-0200-00000E000000}" name="tipo_cambio"/>
    <tableColumn id="15" xr3:uid="{00000000-0010-0000-0200-00000F000000}" name="importe_equivalente_ars"/>
    <tableColumn id="16" xr3:uid="{00000000-0010-0000-0200-000010000000}" name="saldo_equivalente_ars"/>
    <tableColumn id="17" xr3:uid="{00000000-0010-0000-0200-000011000000}" name="estado"/>
    <tableColumn id="18" xr3:uid="{00000000-0010-0000-0200-000012000000}" name="dias_atraso"/>
    <tableColumn id="19" xr3:uid="{00000000-0010-0000-0200-000013000000}" name="prioridad_cobranza"/>
    <tableColumn id="20" xr3:uid="{00000000-0010-0000-0200-000014000000}" name="responsable"/>
    <tableColumn id="21" xr3:uid="{00000000-0010-0000-0200-000015000000}" name="proxima_accion"/>
    <tableColumn id="22" xr3:uid="{00000000-0010-0000-0200-000016000000}" name="observaciones"/>
    <tableColumn id="23" xr3:uid="{00000000-0010-0000-0200-000017000000}" name="mes_emision"/>
    <tableColumn id="24" xr3:uid="{00000000-0010-0000-0200-000018000000}" name="mes_vencimiento"/>
    <tableColumn id="25" xr3:uid="{00000000-0010-0000-0200-000019000000}" name="trimestre"/>
    <tableColumn id="26" xr3:uid="{00000000-0010-0000-0200-00001A000000}" name="vencida_si_no"/>
    <tableColumn id="27" xr3:uid="{00000000-0010-0000-0200-00001B000000}" name="parcial_si_no"/>
    <tableColumn id="28" xr3:uid="{00000000-0010-0000-0200-00001C000000}" name="exposicion_usd_si_n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ipoCambioTable" displayName="TipoCambioTable" ref="A1:C13">
  <tableColumns count="3">
    <tableColumn id="1" xr3:uid="{00000000-0010-0000-0500-000001000000}" name="mes"/>
    <tableColumn id="2" xr3:uid="{00000000-0010-0000-0500-000002000000}" name="tipo_cambio_referencia"/>
    <tableColumn id="3" xr3:uid="{00000000-0010-0000-0500-000003000000}" name="not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iccionarioTable" displayName="DiccionarioTable" ref="A1:C20">
  <tableColumns count="3">
    <tableColumn id="1" xr3:uid="{00000000-0010-0000-0600-000001000000}" name="Campo"/>
    <tableColumn id="2" xr3:uid="{00000000-0010-0000-0600-000002000000}" name="Descripción"/>
    <tableColumn id="3" xr3:uid="{00000000-0010-0000-0600-000003000000}" name="Tipo / us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7"/>
  <sheetViews>
    <sheetView topLeftCell="A14" workbookViewId="0">
      <selection activeCell="E19" sqref="E19"/>
    </sheetView>
  </sheetViews>
  <sheetFormatPr baseColWidth="10" defaultColWidth="9" defaultRowHeight="13.5"/>
  <cols>
    <col min="1" max="1" width="26" customWidth="1"/>
    <col min="2" max="2" width="20" customWidth="1"/>
    <col min="3" max="3" width="16.125" bestFit="1" customWidth="1"/>
    <col min="4" max="4" width="18" customWidth="1"/>
    <col min="5" max="5" width="22" customWidth="1"/>
    <col min="6" max="6" width="3" customWidth="1"/>
    <col min="7" max="7" width="30" customWidth="1"/>
    <col min="8" max="8" width="18" customWidth="1"/>
    <col min="9" max="9" width="14" customWidth="1"/>
    <col min="10" max="10" width="16" customWidth="1"/>
  </cols>
  <sheetData>
    <row r="1" spans="1:10" ht="17.649999999999999">
      <c r="A1" s="28" t="s">
        <v>0</v>
      </c>
      <c r="B1" s="29"/>
      <c r="C1" s="29"/>
      <c r="D1" s="29"/>
      <c r="E1" s="29"/>
      <c r="F1" s="29"/>
      <c r="G1" s="29"/>
      <c r="H1" s="29"/>
    </row>
    <row r="3" spans="1:10" ht="13.9">
      <c r="A3" s="8" t="s">
        <v>1</v>
      </c>
      <c r="B3" s="24">
        <v>46204</v>
      </c>
      <c r="D3" s="8" t="s">
        <v>2</v>
      </c>
      <c r="E3" s="8" t="s">
        <v>3</v>
      </c>
    </row>
    <row r="4" spans="1:10" ht="32.1" customHeight="1">
      <c r="G4" s="23"/>
    </row>
    <row r="5" spans="1:10" ht="13.9">
      <c r="A5" s="25" t="s">
        <v>4</v>
      </c>
      <c r="B5" s="26">
        <f>SUM(FacturasTable[importe_equivalente_ars])</f>
        <v>233406000</v>
      </c>
    </row>
    <row r="6" spans="1:10" ht="13.9">
      <c r="A6" s="25" t="s">
        <v>9</v>
      </c>
      <c r="B6" s="26">
        <f>SUM(FacturasTable[importe_equivalente_ars])-SUM(FacturasTable[saldo_equivalente_ars])</f>
        <v>146726526.94999999</v>
      </c>
    </row>
    <row r="7" spans="1:10" ht="13.9">
      <c r="A7" s="25" t="s">
        <v>11</v>
      </c>
      <c r="B7" s="26">
        <f>SUM(FacturasTable[saldo_equivalente_ars])</f>
        <v>86679473.049999997</v>
      </c>
    </row>
    <row r="8" spans="1:10" ht="13.9">
      <c r="A8" s="25" t="s">
        <v>13</v>
      </c>
      <c r="B8" s="26">
        <f>SUMIFS(FacturasTable[saldo_equivalente_ars],FacturasTable[estado],"Vencida")</f>
        <v>46857900</v>
      </c>
    </row>
    <row r="9" spans="1:10" ht="13.9">
      <c r="A9" s="25" t="s">
        <v>8</v>
      </c>
      <c r="B9" s="27">
        <f>COUNTIF(FacturasTable[estado],"Vencida")</f>
        <v>47</v>
      </c>
    </row>
    <row r="10" spans="1:10" ht="13.9">
      <c r="A10" s="25" t="s">
        <v>16</v>
      </c>
      <c r="B10" s="26">
        <f>SUMIFS(FacturasTable[saldo_pendiente],FacturasTable[moneda],"USD")</f>
        <v>29163.47</v>
      </c>
    </row>
    <row r="11" spans="1:10" ht="13.9">
      <c r="A11" s="25" t="s">
        <v>18</v>
      </c>
      <c r="B11" s="26">
        <f>SUMIFS(FacturasTable[saldo_pendiente],FacturasTable[moneda],"ARS")</f>
        <v>41604795.329999998</v>
      </c>
    </row>
    <row r="12" spans="1:10" ht="13.9">
      <c r="A12" s="25" t="s">
        <v>20</v>
      </c>
      <c r="B12" s="27">
        <f>IFERROR(AVERAGEIF(FacturasTable[dias_atraso],"&gt;0",FacturasTable[dias_atraso]),0)</f>
        <v>69.913043478260875</v>
      </c>
    </row>
    <row r="15" spans="1:10" ht="13.9">
      <c r="A15" s="6" t="s">
        <v>24</v>
      </c>
      <c r="B15" s="6" t="s">
        <v>25</v>
      </c>
      <c r="C15" s="6" t="s">
        <v>26</v>
      </c>
      <c r="D15" s="6" t="s">
        <v>6</v>
      </c>
      <c r="E15" s="6" t="s">
        <v>27</v>
      </c>
      <c r="G15" s="6" t="s">
        <v>5</v>
      </c>
      <c r="H15" s="6" t="s">
        <v>6</v>
      </c>
      <c r="I15" s="6" t="s">
        <v>7</v>
      </c>
      <c r="J15" s="6" t="s">
        <v>8</v>
      </c>
    </row>
    <row r="16" spans="1:10">
      <c r="A16" s="7">
        <v>45870</v>
      </c>
      <c r="B16" s="22">
        <f>SUMIFS(FacturasTable[importe_equivalente_ars],FacturasTable[mes_vencimiento],A16)</f>
        <v>3704100</v>
      </c>
      <c r="C16" s="22">
        <f>SUMIFS(FacturasTable[importe_equivalente_ars],FacturasTable[mes_emision],A16)-SUMIFS(FacturasTable[saldo_equivalente_ars],FacturasTable[mes_emision],A16)</f>
        <v>16600184.880000001</v>
      </c>
      <c r="D16" s="22">
        <f>SUMIFS(FacturasTable[saldo_equivalente_ars],FacturasTable[mes_emision],A16)</f>
        <v>4874365.1199999992</v>
      </c>
      <c r="E16" s="5">
        <f>COUNTIFS(FacturasTable[mes_emision],A16)</f>
        <v>24</v>
      </c>
      <c r="G16" t="s">
        <v>10</v>
      </c>
      <c r="H16" s="22">
        <f>+SUMIF(FacturasTable[cliente],TopClientesTable[[#This Row],[Cliente]],FacturasTable[saldo_equivalente_ars])</f>
        <v>7879766.8700000001</v>
      </c>
      <c r="I16" s="4">
        <f>IF($G16="","",SUMIFS(FacturasTable[saldo_pendiente],FacturasTable[cliente],$G16,FacturasTable[moneda],"USD"))</f>
        <v>4361.87</v>
      </c>
      <c r="J16" s="5">
        <f>+IF($G16="","",COUNTIFS(FacturasTable[cliente],$G16,FacturasTable[estado],"Vencida"))</f>
        <v>3</v>
      </c>
    </row>
    <row r="17" spans="1:10">
      <c r="A17" s="7">
        <v>45901</v>
      </c>
      <c r="B17" s="22">
        <f>SUMIFS(FacturasTable[importe_equivalente_ars],FacturasTable[mes_vencimiento],A17)</f>
        <v>20773950</v>
      </c>
      <c r="C17" s="22">
        <f>SUMIFS(FacturasTable[importe_equivalente_ars],FacturasTable[mes_emision],A17)-SUMIFS(FacturasTable[saldo_equivalente_ars],FacturasTable[mes_emision],A17)</f>
        <v>20679058.350000001</v>
      </c>
      <c r="D17" s="22">
        <f>SUMIFS(FacturasTable[saldo_equivalente_ars],FacturasTable[mes_emision],A17)</f>
        <v>5832441.6500000004</v>
      </c>
      <c r="E17" s="5">
        <f>COUNTIFS(FacturasTable[mes_emision],A17)</f>
        <v>25</v>
      </c>
      <c r="G17" t="s">
        <v>12</v>
      </c>
      <c r="H17" s="22">
        <f>+SUMIF(FacturasTable[cliente],TopClientesTable[[#This Row],[Cliente]],FacturasTable[saldo_equivalente_ars])</f>
        <v>7812484.0199999996</v>
      </c>
      <c r="I17" s="4">
        <f>IF($G17="","",SUMIFS(FacturasTable[saldo_pendiente],FacturasTable[cliente],$G17,FacturasTable[moneda],"USD"))</f>
        <v>3161.09</v>
      </c>
      <c r="J17" s="5">
        <f>+IF($G17="","",COUNTIFS(FacturasTable[cliente],$G17,FacturasTable[estado],"Vencida"))</f>
        <v>4</v>
      </c>
    </row>
    <row r="18" spans="1:10">
      <c r="A18" s="7">
        <v>45931</v>
      </c>
      <c r="B18" s="22">
        <f>SUMIFS(FacturasTable[importe_equivalente_ars],FacturasTable[mes_vencimiento],A18)</f>
        <v>23711000</v>
      </c>
      <c r="C18" s="22">
        <f>SUMIFS(FacturasTable[importe_equivalente_ars],FacturasTable[mes_emision],A18)-SUMIFS(FacturasTable[saldo_equivalente_ars],FacturasTable[mes_emision],A18)</f>
        <v>11278097.07</v>
      </c>
      <c r="D18" s="22">
        <f>SUMIFS(FacturasTable[saldo_equivalente_ars],FacturasTable[mes_emision],A18)</f>
        <v>4548402.9300000006</v>
      </c>
      <c r="E18" s="5">
        <f>COUNTIFS(FacturasTable[mes_emision],A18)</f>
        <v>18</v>
      </c>
      <c r="G18" t="s">
        <v>14</v>
      </c>
      <c r="H18" s="22">
        <f>+SUMIF(FacturasTable[cliente],TopClientesTable[[#This Row],[Cliente]],FacturasTable[saldo_equivalente_ars])</f>
        <v>5830413.1199999992</v>
      </c>
      <c r="I18" s="4">
        <f>IF($G18="","",SUMIFS(FacturasTable[saldo_pendiente],FacturasTable[cliente],$G18,FacturasTable[moneda],"USD"))</f>
        <v>850</v>
      </c>
      <c r="J18" s="5">
        <f>+IF($G18="","",COUNTIFS(FacturasTable[cliente],$G18,FacturasTable[estado],"Vencida"))</f>
        <v>5</v>
      </c>
    </row>
    <row r="19" spans="1:10">
      <c r="A19" s="7">
        <v>45962</v>
      </c>
      <c r="B19" s="22">
        <f>SUMIFS(FacturasTable[importe_equivalente_ars],FacturasTable[mes_vencimiento],A19)</f>
        <v>16569400</v>
      </c>
      <c r="C19" s="22">
        <f>SUMIFS(FacturasTable[importe_equivalente_ars],FacturasTable[mes_emision],A19)-SUMIFS(FacturasTable[saldo_equivalente_ars],FacturasTable[mes_emision],A19)</f>
        <v>13312637.969999999</v>
      </c>
      <c r="D19" s="22">
        <f>SUMIFS(FacturasTable[saldo_equivalente_ars],FacturasTable[mes_emision],A19)</f>
        <v>6897362.0300000003</v>
      </c>
      <c r="E19" s="5">
        <f>COUNTIFS(FacturasTable[mes_emision],A19)</f>
        <v>24</v>
      </c>
      <c r="G19" t="s">
        <v>15</v>
      </c>
      <c r="H19" s="22">
        <f>+SUMIF(FacturasTable[cliente],TopClientesTable[[#This Row],[Cliente]],FacturasTable[saldo_equivalente_ars])</f>
        <v>5290699.46</v>
      </c>
      <c r="I19" s="4">
        <f>IF($G19="","",SUMIFS(FacturasTable[saldo_pendiente],FacturasTable[cliente],$G19,FacturasTable[moneda],"USD"))</f>
        <v>2250</v>
      </c>
      <c r="J19" s="5">
        <f>+IF($G19="","",COUNTIFS(FacturasTable[cliente],$G19,FacturasTable[estado],"Vencida"))</f>
        <v>2</v>
      </c>
    </row>
    <row r="20" spans="1:10">
      <c r="A20" s="7">
        <v>45992</v>
      </c>
      <c r="B20" s="22">
        <f>SUMIFS(FacturasTable[importe_equivalente_ars],FacturasTable[mes_vencimiento],A20)</f>
        <v>17651600</v>
      </c>
      <c r="C20" s="22">
        <f>SUMIFS(FacturasTable[importe_equivalente_ars],FacturasTable[mes_emision],A20)-SUMIFS(FacturasTable[saldo_equivalente_ars],FacturasTable[mes_emision],A20)</f>
        <v>18702785.309999999</v>
      </c>
      <c r="D20" s="22">
        <f>SUMIFS(FacturasTable[saldo_equivalente_ars],FacturasTable[mes_emision],A20)</f>
        <v>3526014.69</v>
      </c>
      <c r="E20" s="5">
        <f>COUNTIFS(FacturasTable[mes_emision],A20)</f>
        <v>20</v>
      </c>
      <c r="G20" t="s">
        <v>17</v>
      </c>
      <c r="H20" s="22">
        <f>+SUMIF(FacturasTable[cliente],TopClientesTable[[#This Row],[Cliente]],FacturasTable[saldo_equivalente_ars])</f>
        <v>5259586.84</v>
      </c>
      <c r="I20" s="4">
        <f>IF($G20="","",SUMIFS(FacturasTable[saldo_pendiente],FacturasTable[cliente],$G20,FacturasTable[moneda],"USD"))</f>
        <v>2269.6</v>
      </c>
      <c r="J20" s="5">
        <f>+IF($G20="","",COUNTIFS(FacturasTable[cliente],$G20,FacturasTable[estado],"Vencida"))</f>
        <v>1</v>
      </c>
    </row>
    <row r="21" spans="1:10">
      <c r="A21" s="7">
        <v>46023</v>
      </c>
      <c r="B21" s="22">
        <f>SUMIFS(FacturasTable[importe_equivalente_ars],FacturasTable[mes_vencimiento],A21)</f>
        <v>24548150</v>
      </c>
      <c r="C21" s="22">
        <f>SUMIFS(FacturasTable[importe_equivalente_ars],FacturasTable[mes_emision],A21)-SUMIFS(FacturasTable[saldo_equivalente_ars],FacturasTable[mes_emision],A21)</f>
        <v>9901392.4000000004</v>
      </c>
      <c r="D21" s="22">
        <f>SUMIFS(FacturasTable[saldo_equivalente_ars],FacturasTable[mes_emision],A21)</f>
        <v>7678007.5999999996</v>
      </c>
      <c r="E21" s="5">
        <f>COUNTIFS(FacturasTable[mes_emision],A21)</f>
        <v>21</v>
      </c>
      <c r="G21" t="s">
        <v>19</v>
      </c>
      <c r="H21" s="22">
        <f>+SUMIF(FacturasTable[cliente],TopClientesTable[[#This Row],[Cliente]],FacturasTable[saldo_equivalente_ars])</f>
        <v>5153400</v>
      </c>
      <c r="I21" s="4">
        <f>IF($G21="","",SUMIFS(FacturasTable[saldo_pendiente],FacturasTable[cliente],$G21,FacturasTable[moneda],"USD"))</f>
        <v>1200</v>
      </c>
      <c r="J21" s="5">
        <f>+IF($G21="","",COUNTIFS(FacturasTable[cliente],$G21,FacturasTable[estado],"Vencida"))</f>
        <v>3</v>
      </c>
    </row>
    <row r="22" spans="1:10">
      <c r="A22" s="7">
        <v>46054</v>
      </c>
      <c r="B22" s="22">
        <f>SUMIFS(FacturasTable[importe_equivalente_ars],FacturasTable[mes_vencimiento],A22)</f>
        <v>19353750</v>
      </c>
      <c r="C22" s="22">
        <f>SUMIFS(FacturasTable[importe_equivalente_ars],FacturasTable[mes_emision],A22)-SUMIFS(FacturasTable[saldo_equivalente_ars],FacturasTable[mes_emision],A22)</f>
        <v>15368372.559999999</v>
      </c>
      <c r="D22" s="22">
        <f>SUMIFS(FacturasTable[saldo_equivalente_ars],FacturasTable[mes_emision],A22)</f>
        <v>4525877.4400000004</v>
      </c>
      <c r="E22" s="5">
        <f>COUNTIFS(FacturasTable[mes_emision],A22)</f>
        <v>21</v>
      </c>
      <c r="G22" t="s">
        <v>21</v>
      </c>
      <c r="H22" s="22">
        <f>+SUMIF(FacturasTable[cliente],TopClientesTable[[#This Row],[Cliente]],FacturasTable[saldo_equivalente_ars])</f>
        <v>5142413.46</v>
      </c>
      <c r="I22" s="4">
        <f>IF($G22="","",SUMIFS(FacturasTable[saldo_pendiente],FacturasTable[cliente],$G22,FacturasTable[moneda],"USD"))</f>
        <v>2650.86</v>
      </c>
      <c r="J22" s="5">
        <f>+IF($G22="","",COUNTIFS(FacturasTable[cliente],$G22,FacturasTable[estado],"Vencida"))</f>
        <v>2</v>
      </c>
    </row>
    <row r="23" spans="1:10">
      <c r="A23" s="7">
        <v>46082</v>
      </c>
      <c r="B23" s="22">
        <f>SUMIFS(FacturasTable[importe_equivalente_ars],FacturasTable[mes_vencimiento],A23)</f>
        <v>15703050</v>
      </c>
      <c r="C23" s="22">
        <f>SUMIFS(FacturasTable[importe_equivalente_ars],FacturasTable[mes_emision],A23)-SUMIFS(FacturasTable[saldo_equivalente_ars],FacturasTable[mes_emision],A23)</f>
        <v>15938710.49</v>
      </c>
      <c r="D23" s="22">
        <f>SUMIFS(FacturasTable[saldo_equivalente_ars],FacturasTable[mes_emision],A23)</f>
        <v>6697489.5099999998</v>
      </c>
      <c r="E23" s="5">
        <f>COUNTIFS(FacturasTable[mes_emision],A23)</f>
        <v>18</v>
      </c>
      <c r="G23" t="s">
        <v>22</v>
      </c>
      <c r="H23" s="22">
        <f>+SUMIF(FacturasTable[cliente],TopClientesTable[[#This Row],[Cliente]],FacturasTable[saldo_equivalente_ars])</f>
        <v>4839847.21</v>
      </c>
      <c r="I23" s="4">
        <f>IF($G23="","",SUMIFS(FacturasTable[saldo_pendiente],FacturasTable[cliente],$G23,FacturasTable[moneda],"USD"))</f>
        <v>909.26</v>
      </c>
      <c r="J23" s="5">
        <f>+IF($G23="","",COUNTIFS(FacturasTable[cliente],$G23,FacturasTable[estado],"Vencida"))</f>
        <v>2</v>
      </c>
    </row>
    <row r="24" spans="1:10">
      <c r="A24" s="7">
        <v>46113</v>
      </c>
      <c r="B24" s="22">
        <f>SUMIFS(FacturasTable[importe_equivalente_ars],FacturasTable[mes_vencimiento],A24)</f>
        <v>22387600</v>
      </c>
      <c r="C24" s="22">
        <f>SUMIFS(FacturasTable[importe_equivalente_ars],FacturasTable[mes_emision],A24)-SUMIFS(FacturasTable[saldo_equivalente_ars],FacturasTable[mes_emision],A24)</f>
        <v>13545448.67</v>
      </c>
      <c r="D24" s="22">
        <f>SUMIFS(FacturasTable[saldo_equivalente_ars],FacturasTable[mes_emision],A24)</f>
        <v>7557551.3300000001</v>
      </c>
      <c r="E24" s="5">
        <f>COUNTIFS(FacturasTable[mes_emision],A24)</f>
        <v>20</v>
      </c>
      <c r="G24" t="s">
        <v>23</v>
      </c>
      <c r="H24" s="22">
        <f>+SUMIF(FacturasTable[cliente],TopClientesTable[[#This Row],[Cliente]],FacturasTable[saldo_equivalente_ars])</f>
        <v>4540110.57</v>
      </c>
      <c r="I24" s="4">
        <f>IF($G24="","",SUMIFS(FacturasTable[saldo_pendiente],FacturasTable[cliente],$G24,FacturasTable[moneda],"USD"))</f>
        <v>1550</v>
      </c>
      <c r="J24" s="5">
        <f>+IF($G24="","",COUNTIFS(FacturasTable[cliente],$G24,FacturasTable[estado],"Vencida"))</f>
        <v>3</v>
      </c>
    </row>
    <row r="25" spans="1:10">
      <c r="A25" s="7">
        <v>46143</v>
      </c>
      <c r="B25" s="22">
        <f>SUMIFS(FacturasTable[importe_equivalente_ars],FacturasTable[mes_vencimiento],A25)</f>
        <v>21757400</v>
      </c>
      <c r="C25" s="22">
        <f>SUMIFS(FacturasTable[importe_equivalente_ars],FacturasTable[mes_emision],A25)-SUMIFS(FacturasTable[saldo_equivalente_ars],FacturasTable[mes_emision],A25)</f>
        <v>7615289.25</v>
      </c>
      <c r="D25" s="22">
        <f>SUMIFS(FacturasTable[saldo_equivalente_ars],FacturasTable[mes_emision],A25)</f>
        <v>9775560.75</v>
      </c>
      <c r="E25" s="5">
        <f>COUNTIFS(FacturasTable[mes_emision],A25)</f>
        <v>18</v>
      </c>
      <c r="G25" t="s">
        <v>28</v>
      </c>
      <c r="H25" s="22">
        <f>+SUMIF(FacturasTable[cliente],TopClientesTable[[#This Row],[Cliente]],FacturasTable[saldo_equivalente_ars])</f>
        <v>3787788.59</v>
      </c>
      <c r="I25" s="4">
        <f>IF($G25="","",SUMIFS(FacturasTable[saldo_pendiente],FacturasTable[cliente],$G25,FacturasTable[moneda],"USD"))</f>
        <v>766.55</v>
      </c>
      <c r="J25" s="5">
        <f>+IF($G25="","",COUNTIFS(FacturasTable[cliente],$G25,FacturasTable[estado],"Vencida"))</f>
        <v>3</v>
      </c>
    </row>
    <row r="26" spans="1:10">
      <c r="A26" s="7">
        <v>46174</v>
      </c>
      <c r="B26" s="22">
        <f>SUMIFS(FacturasTable[importe_equivalente_ars],FacturasTable[mes_vencimiento],A26)</f>
        <v>21501600</v>
      </c>
      <c r="C26" s="22">
        <f>SUMIFS(FacturasTable[importe_equivalente_ars],FacturasTable[mes_emision],A26)-SUMIFS(FacturasTable[saldo_equivalente_ars],FacturasTable[mes_emision],A26)</f>
        <v>3784550</v>
      </c>
      <c r="D26" s="22">
        <f>SUMIFS(FacturasTable[saldo_equivalente_ars],FacturasTable[mes_emision],A26)</f>
        <v>18996800</v>
      </c>
      <c r="E26" s="5">
        <f>COUNTIFS(FacturasTable[mes_emision],A26)</f>
        <v>21</v>
      </c>
    </row>
    <row r="27" spans="1:10">
      <c r="A27" s="7">
        <v>46204</v>
      </c>
      <c r="B27" s="22">
        <f>SUMIFS(FacturasTable[importe_equivalente_ars],FacturasTable[mes_vencimiento],A27)</f>
        <v>17034950</v>
      </c>
      <c r="C27" s="22">
        <f>SUMIFS(FacturasTable[importe_equivalente_ars],FacturasTable[mes_emision],A27)-SUMIFS(FacturasTable[saldo_equivalente_ars],FacturasTable[mes_emision],A27)</f>
        <v>0</v>
      </c>
      <c r="D27" s="22">
        <f>SUMIFS(FacturasTable[saldo_equivalente_ars],FacturasTable[mes_emision],A27)</f>
        <v>5769600</v>
      </c>
      <c r="E27" s="5">
        <f>COUNTIFS(FacturasTable[mes_emision],A27)</f>
        <v>6</v>
      </c>
    </row>
  </sheetData>
  <mergeCells count="1">
    <mergeCell ref="A1:H1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237"/>
  <sheetViews>
    <sheetView tabSelected="1" topLeftCell="G1" workbookViewId="0">
      <selection activeCell="O1" sqref="O1"/>
    </sheetView>
  </sheetViews>
  <sheetFormatPr baseColWidth="10" defaultColWidth="9" defaultRowHeight="13.5"/>
  <cols>
    <col min="1" max="1" width="14" customWidth="1"/>
    <col min="2" max="4" width="13" customWidth="1"/>
    <col min="5" max="5" width="11" customWidth="1"/>
    <col min="6" max="6" width="28" customWidth="1"/>
    <col min="7" max="7" width="22" customWidth="1"/>
    <col min="8" max="8" width="11" customWidth="1"/>
    <col min="9" max="9" width="28" customWidth="1"/>
    <col min="10" max="10" width="9" customWidth="1"/>
    <col min="11" max="11" width="16.8125" customWidth="1"/>
    <col min="12" max="13" width="16" customWidth="1"/>
    <col min="14" max="14" width="12" customWidth="1"/>
    <col min="15" max="16" width="18" customWidth="1"/>
    <col min="17" max="17" width="13" customWidth="1"/>
    <col min="18" max="18" width="12" customWidth="1"/>
    <col min="19" max="19" width="16" customWidth="1"/>
    <col min="20" max="20" width="12" customWidth="1"/>
    <col min="21" max="21" width="24" customWidth="1"/>
    <col min="22" max="22" width="28" customWidth="1"/>
    <col min="23" max="24" width="13" customWidth="1"/>
    <col min="25" max="25" width="10" customWidth="1"/>
    <col min="26" max="27" width="12" customWidth="1"/>
    <col min="28" max="28" width="15" customWidth="1"/>
  </cols>
  <sheetData>
    <row r="1" spans="1:28" ht="27.7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36</v>
      </c>
      <c r="I1" s="2" t="s">
        <v>37</v>
      </c>
      <c r="J1" s="2" t="s">
        <v>38</v>
      </c>
      <c r="K1" s="2" t="s">
        <v>39</v>
      </c>
      <c r="L1" s="2" t="s">
        <v>40</v>
      </c>
      <c r="M1" s="2" t="s">
        <v>41</v>
      </c>
      <c r="N1" s="2" t="s">
        <v>42</v>
      </c>
      <c r="O1" s="2" t="s">
        <v>43</v>
      </c>
      <c r="P1" s="2" t="s">
        <v>44</v>
      </c>
      <c r="Q1" s="2" t="s">
        <v>45</v>
      </c>
      <c r="R1" s="2" t="s">
        <v>46</v>
      </c>
      <c r="S1" s="2" t="s">
        <v>47</v>
      </c>
      <c r="T1" s="2" t="s">
        <v>48</v>
      </c>
      <c r="U1" s="2" t="s">
        <v>49</v>
      </c>
      <c r="V1" s="2" t="s">
        <v>50</v>
      </c>
      <c r="W1" s="2" t="s">
        <v>51</v>
      </c>
      <c r="X1" s="2" t="s">
        <v>52</v>
      </c>
      <c r="Y1" s="2" t="s">
        <v>53</v>
      </c>
      <c r="Z1" s="2" t="s">
        <v>54</v>
      </c>
      <c r="AA1" s="2" t="s">
        <v>55</v>
      </c>
      <c r="AB1" s="2" t="s">
        <v>56</v>
      </c>
    </row>
    <row r="2" spans="1:28">
      <c r="A2" t="s">
        <v>57</v>
      </c>
      <c r="B2" s="3">
        <v>45897</v>
      </c>
      <c r="C2" s="3">
        <v>45912</v>
      </c>
      <c r="D2" s="3">
        <v>45934</v>
      </c>
      <c r="E2" t="s">
        <v>58</v>
      </c>
      <c r="F2" t="s">
        <v>10</v>
      </c>
      <c r="G2" t="s">
        <v>59</v>
      </c>
      <c r="H2" t="s">
        <v>60</v>
      </c>
      <c r="I2" t="s">
        <v>61</v>
      </c>
      <c r="J2" t="s">
        <v>62</v>
      </c>
      <c r="K2" s="4">
        <v>650</v>
      </c>
      <c r="L2" s="4">
        <v>650</v>
      </c>
      <c r="M2" s="4">
        <f t="shared" ref="M2:M65" si="0">K2-L2</f>
        <v>0</v>
      </c>
      <c r="N2" s="4">
        <v>1297</v>
      </c>
      <c r="O2" s="4">
        <f t="shared" ref="O2:O65" si="1">IF(J2="USD",K2*N2,K2)</f>
        <v>843050</v>
      </c>
      <c r="P2" s="4">
        <f t="shared" ref="P2:P65" si="2">IF(J2="USD",M2*N2,M2)</f>
        <v>0</v>
      </c>
      <c r="Q2" t="str">
        <f>IF(M2&lt;=0,"Cobrada",IF(L2&gt;0,"Parcial",IF(C2&lt;Resumen!$B$3,"Vencida",IF(C2&lt;=Resumen!$B$3+15,"Por vencer","Pendiente"))))</f>
        <v>Cobrada</v>
      </c>
      <c r="R2" s="5">
        <f>IF(M2&lt;=0,MAX(0,D2-C2),MAX(0,Resumen!$B$3-C2))</f>
        <v>22</v>
      </c>
      <c r="S2" t="str">
        <f>IF(M2&lt;=0,"Sin prioridad",IF(R2&gt;60,"Alta",IF(R2&gt;30,"Media",IF(C2&lt;=Resumen!$B$3+15,"Media","Baja"))))</f>
        <v>Sin prioridad</v>
      </c>
      <c r="T2" t="s">
        <v>63</v>
      </c>
      <c r="U2" t="s">
        <v>64</v>
      </c>
      <c r="V2" t="s">
        <v>65</v>
      </c>
      <c r="W2" s="3">
        <f t="shared" ref="W2:W65" si="3">DATE(YEAR(B2),MONTH(B2),1)</f>
        <v>45870</v>
      </c>
      <c r="X2" s="3">
        <f t="shared" ref="X2:X65" si="4">DATE(YEAR(C2),MONTH(C2),1)</f>
        <v>45901</v>
      </c>
      <c r="Y2" t="s">
        <v>66</v>
      </c>
      <c r="Z2" t="str">
        <f>IF(AND(M2&gt;0,C2&lt;Resumen!$B$3),"Sí","No")</f>
        <v>No</v>
      </c>
      <c r="AA2" t="str">
        <f t="shared" ref="AA2:AA65" si="5">IF(AND(L2&gt;0,M2&gt;0),"Sí","No")</f>
        <v>No</v>
      </c>
      <c r="AB2" t="str">
        <f t="shared" ref="AB2:AB65" si="6">IF(J2="USD","Sí","No")</f>
        <v>Sí</v>
      </c>
    </row>
    <row r="3" spans="1:28">
      <c r="A3" t="s">
        <v>67</v>
      </c>
      <c r="B3" s="3">
        <v>45894</v>
      </c>
      <c r="C3" s="3">
        <v>45909</v>
      </c>
      <c r="D3" s="3">
        <v>45924</v>
      </c>
      <c r="E3" t="s">
        <v>68</v>
      </c>
      <c r="F3" t="s">
        <v>69</v>
      </c>
      <c r="G3" t="s">
        <v>59</v>
      </c>
      <c r="H3" t="s">
        <v>70</v>
      </c>
      <c r="I3" t="s">
        <v>71</v>
      </c>
      <c r="J3" t="s">
        <v>72</v>
      </c>
      <c r="K3" s="4">
        <v>668000</v>
      </c>
      <c r="L3" s="4">
        <v>668000</v>
      </c>
      <c r="M3" s="4">
        <f t="shared" si="0"/>
        <v>0</v>
      </c>
      <c r="N3" s="4">
        <v>1297</v>
      </c>
      <c r="O3" s="4">
        <f t="shared" si="1"/>
        <v>668000</v>
      </c>
      <c r="P3" s="4">
        <f t="shared" si="2"/>
        <v>0</v>
      </c>
      <c r="Q3" t="str">
        <f>IF(M3&lt;=0,"Cobrada",IF(L3&gt;0,"Parcial",IF(C3&lt;Resumen!$B$3,"Vencida",IF(C3&lt;=Resumen!$B$3+15,"Por vencer","Pendiente"))))</f>
        <v>Cobrada</v>
      </c>
      <c r="R3" s="5">
        <f>IF(M3&lt;=0,MAX(0,D3-C3),MAX(0,Resumen!$B$3-C3))</f>
        <v>15</v>
      </c>
      <c r="S3" t="str">
        <f>IF(M3&lt;=0,"Sin prioridad",IF(R3&gt;60,"Alta",IF(R3&gt;30,"Media",IF(C3&lt;=Resumen!$B$3+15,"Media","Baja"))))</f>
        <v>Sin prioridad</v>
      </c>
      <c r="T3" t="s">
        <v>73</v>
      </c>
      <c r="U3" t="s">
        <v>64</v>
      </c>
      <c r="V3" t="s">
        <v>74</v>
      </c>
      <c r="W3" s="3">
        <f t="shared" si="3"/>
        <v>45870</v>
      </c>
      <c r="X3" s="3">
        <f t="shared" si="4"/>
        <v>45901</v>
      </c>
      <c r="Y3" t="s">
        <v>66</v>
      </c>
      <c r="Z3" t="str">
        <f>IF(AND(M3&gt;0,C3&lt;Resumen!$B$3),"Sí","No")</f>
        <v>No</v>
      </c>
      <c r="AA3" t="str">
        <f t="shared" si="5"/>
        <v>No</v>
      </c>
      <c r="AB3" t="str">
        <f t="shared" si="6"/>
        <v>No</v>
      </c>
    </row>
    <row r="4" spans="1:28">
      <c r="A4" t="s">
        <v>75</v>
      </c>
      <c r="B4" s="3">
        <v>45880</v>
      </c>
      <c r="C4" s="3">
        <v>45895</v>
      </c>
      <c r="D4" s="3">
        <v>45891</v>
      </c>
      <c r="E4" t="s">
        <v>76</v>
      </c>
      <c r="F4" t="s">
        <v>77</v>
      </c>
      <c r="G4" t="s">
        <v>59</v>
      </c>
      <c r="H4" t="s">
        <v>60</v>
      </c>
      <c r="I4" t="s">
        <v>61</v>
      </c>
      <c r="J4" t="s">
        <v>72</v>
      </c>
      <c r="K4" s="4">
        <v>447000</v>
      </c>
      <c r="L4" s="4">
        <v>447000</v>
      </c>
      <c r="M4" s="4">
        <f t="shared" si="0"/>
        <v>0</v>
      </c>
      <c r="N4" s="4">
        <v>1297</v>
      </c>
      <c r="O4" s="4">
        <f t="shared" si="1"/>
        <v>447000</v>
      </c>
      <c r="P4" s="4">
        <f t="shared" si="2"/>
        <v>0</v>
      </c>
      <c r="Q4" t="str">
        <f>IF(M4&lt;=0,"Cobrada",IF(L4&gt;0,"Parcial",IF(C4&lt;Resumen!$B$3,"Vencida",IF(C4&lt;=Resumen!$B$3+15,"Por vencer","Pendiente"))))</f>
        <v>Cobrada</v>
      </c>
      <c r="R4" s="5">
        <f>IF(M4&lt;=0,MAX(0,D4-C4),MAX(0,Resumen!$B$3-C4))</f>
        <v>0</v>
      </c>
      <c r="S4" t="str">
        <f>IF(M4&lt;=0,"Sin prioridad",IF(R4&gt;60,"Alta",IF(R4&gt;30,"Media",IF(C4&lt;=Resumen!$B$3+15,"Media","Baja"))))</f>
        <v>Sin prioridad</v>
      </c>
      <c r="T4" t="s">
        <v>73</v>
      </c>
      <c r="U4" t="s">
        <v>64</v>
      </c>
      <c r="V4" t="s">
        <v>78</v>
      </c>
      <c r="W4" s="3">
        <f t="shared" si="3"/>
        <v>45870</v>
      </c>
      <c r="X4" s="3">
        <f t="shared" si="4"/>
        <v>45870</v>
      </c>
      <c r="Y4" t="s">
        <v>66</v>
      </c>
      <c r="Z4" t="str">
        <f>IF(AND(M4&gt;0,C4&lt;Resumen!$B$3),"Sí","No")</f>
        <v>No</v>
      </c>
      <c r="AA4" t="str">
        <f t="shared" si="5"/>
        <v>No</v>
      </c>
      <c r="AB4" t="str">
        <f t="shared" si="6"/>
        <v>No</v>
      </c>
    </row>
    <row r="5" spans="1:28">
      <c r="A5" t="s">
        <v>79</v>
      </c>
      <c r="B5" s="3">
        <v>45890</v>
      </c>
      <c r="C5" s="3">
        <v>45905</v>
      </c>
      <c r="D5" s="3">
        <v>45900</v>
      </c>
      <c r="E5" t="s">
        <v>76</v>
      </c>
      <c r="F5" t="s">
        <v>77</v>
      </c>
      <c r="G5" t="s">
        <v>59</v>
      </c>
      <c r="H5" t="s">
        <v>70</v>
      </c>
      <c r="I5" t="s">
        <v>71</v>
      </c>
      <c r="J5" t="s">
        <v>72</v>
      </c>
      <c r="K5" s="4">
        <v>654000</v>
      </c>
      <c r="L5" s="4">
        <v>654000</v>
      </c>
      <c r="M5" s="4">
        <f t="shared" si="0"/>
        <v>0</v>
      </c>
      <c r="N5" s="4">
        <v>1297</v>
      </c>
      <c r="O5" s="4">
        <f t="shared" si="1"/>
        <v>654000</v>
      </c>
      <c r="P5" s="4">
        <f t="shared" si="2"/>
        <v>0</v>
      </c>
      <c r="Q5" t="str">
        <f>IF(M5&lt;=0,"Cobrada",IF(L5&gt;0,"Parcial",IF(C5&lt;Resumen!$B$3,"Vencida",IF(C5&lt;=Resumen!$B$3+15,"Por vencer","Pendiente"))))</f>
        <v>Cobrada</v>
      </c>
      <c r="R5" s="5">
        <f>IF(M5&lt;=0,MAX(0,D5-C5),MAX(0,Resumen!$B$3-C5))</f>
        <v>0</v>
      </c>
      <c r="S5" t="str">
        <f>IF(M5&lt;=0,"Sin prioridad",IF(R5&gt;60,"Alta",IF(R5&gt;30,"Media",IF(C5&lt;=Resumen!$B$3+15,"Media","Baja"))))</f>
        <v>Sin prioridad</v>
      </c>
      <c r="T5" t="s">
        <v>73</v>
      </c>
      <c r="U5" t="s">
        <v>64</v>
      </c>
      <c r="V5" t="s">
        <v>80</v>
      </c>
      <c r="W5" s="3">
        <f t="shared" si="3"/>
        <v>45870</v>
      </c>
      <c r="X5" s="3">
        <f t="shared" si="4"/>
        <v>45901</v>
      </c>
      <c r="Y5" t="s">
        <v>66</v>
      </c>
      <c r="Z5" t="str">
        <f>IF(AND(M5&gt;0,C5&lt;Resumen!$B$3),"Sí","No")</f>
        <v>No</v>
      </c>
      <c r="AA5" t="str">
        <f t="shared" si="5"/>
        <v>No</v>
      </c>
      <c r="AB5" t="str">
        <f t="shared" si="6"/>
        <v>No</v>
      </c>
    </row>
    <row r="6" spans="1:28">
      <c r="A6" t="s">
        <v>81</v>
      </c>
      <c r="B6" s="3">
        <v>45878</v>
      </c>
      <c r="C6" s="3">
        <v>45923</v>
      </c>
      <c r="D6" s="3">
        <v>45927</v>
      </c>
      <c r="E6" t="s">
        <v>82</v>
      </c>
      <c r="F6" t="s">
        <v>15</v>
      </c>
      <c r="G6" t="s">
        <v>59</v>
      </c>
      <c r="H6" t="s">
        <v>70</v>
      </c>
      <c r="I6" t="s">
        <v>71</v>
      </c>
      <c r="J6" t="s">
        <v>72</v>
      </c>
      <c r="K6" s="4">
        <v>402000</v>
      </c>
      <c r="L6" s="4">
        <v>402000</v>
      </c>
      <c r="M6" s="4">
        <f t="shared" si="0"/>
        <v>0</v>
      </c>
      <c r="N6" s="4">
        <v>1297</v>
      </c>
      <c r="O6" s="4">
        <f t="shared" si="1"/>
        <v>402000</v>
      </c>
      <c r="P6" s="4">
        <f t="shared" si="2"/>
        <v>0</v>
      </c>
      <c r="Q6" t="str">
        <f>IF(M6&lt;=0,"Cobrada",IF(L6&gt;0,"Parcial",IF(C6&lt;Resumen!$B$3,"Vencida",IF(C6&lt;=Resumen!$B$3+15,"Por vencer","Pendiente"))))</f>
        <v>Cobrada</v>
      </c>
      <c r="R6" s="5">
        <f>IF(M6&lt;=0,MAX(0,D6-C6),MAX(0,Resumen!$B$3-C6))</f>
        <v>4</v>
      </c>
      <c r="S6" t="str">
        <f>IF(M6&lt;=0,"Sin prioridad",IF(R6&gt;60,"Alta",IF(R6&gt;30,"Media",IF(C6&lt;=Resumen!$B$3+15,"Media","Baja"))))</f>
        <v>Sin prioridad</v>
      </c>
      <c r="T6" t="s">
        <v>83</v>
      </c>
      <c r="U6" t="s">
        <v>64</v>
      </c>
      <c r="V6" t="s">
        <v>80</v>
      </c>
      <c r="W6" s="3">
        <f t="shared" si="3"/>
        <v>45870</v>
      </c>
      <c r="X6" s="3">
        <f t="shared" si="4"/>
        <v>45901</v>
      </c>
      <c r="Y6" t="s">
        <v>66</v>
      </c>
      <c r="Z6" t="str">
        <f>IF(AND(M6&gt;0,C6&lt;Resumen!$B$3),"Sí","No")</f>
        <v>No</v>
      </c>
      <c r="AA6" t="str">
        <f t="shared" si="5"/>
        <v>No</v>
      </c>
      <c r="AB6" t="str">
        <f t="shared" si="6"/>
        <v>No</v>
      </c>
    </row>
    <row r="7" spans="1:28">
      <c r="A7" t="s">
        <v>84</v>
      </c>
      <c r="B7" s="3">
        <v>45892</v>
      </c>
      <c r="C7" s="3">
        <v>45907</v>
      </c>
      <c r="D7" s="3"/>
      <c r="E7" t="s">
        <v>85</v>
      </c>
      <c r="F7" t="s">
        <v>86</v>
      </c>
      <c r="G7" t="s">
        <v>59</v>
      </c>
      <c r="H7" t="s">
        <v>70</v>
      </c>
      <c r="I7" t="s">
        <v>71</v>
      </c>
      <c r="J7" t="s">
        <v>72</v>
      </c>
      <c r="K7" s="4">
        <v>695000</v>
      </c>
      <c r="L7" s="4">
        <v>0</v>
      </c>
      <c r="M7" s="4">
        <f t="shared" si="0"/>
        <v>695000</v>
      </c>
      <c r="N7" s="4">
        <v>1297</v>
      </c>
      <c r="O7" s="4">
        <f t="shared" si="1"/>
        <v>695000</v>
      </c>
      <c r="P7" s="4">
        <f t="shared" si="2"/>
        <v>695000</v>
      </c>
      <c r="Q7" t="str">
        <f>IF(M7&lt;=0,"Cobrada",IF(L7&gt;0,"Parcial",IF(C7&lt;Resumen!$B$3,"Vencida",IF(C7&lt;=Resumen!$B$3+15,"Por vencer","Pendiente"))))</f>
        <v>Vencida</v>
      </c>
      <c r="R7" s="5">
        <f>IF(M7&lt;=0,MAX(0,D7-C7),MAX(0,Resumen!$B$3-C7))</f>
        <v>297</v>
      </c>
      <c r="S7" t="str">
        <f>IF(M7&lt;=0,"Sin prioridad",IF(R7&gt;60,"Alta",IF(R7&gt;30,"Media",IF(C7&lt;=Resumen!$B$3+15,"Media","Baja"))))</f>
        <v>Alta</v>
      </c>
      <c r="T7" t="s">
        <v>87</v>
      </c>
      <c r="U7" t="s">
        <v>88</v>
      </c>
      <c r="V7" t="s">
        <v>65</v>
      </c>
      <c r="W7" s="3">
        <f t="shared" si="3"/>
        <v>45870</v>
      </c>
      <c r="X7" s="3">
        <f t="shared" si="4"/>
        <v>45901</v>
      </c>
      <c r="Y7" t="s">
        <v>66</v>
      </c>
      <c r="Z7" t="str">
        <f>IF(AND(M7&gt;0,C7&lt;Resumen!$B$3),"Sí","No")</f>
        <v>Sí</v>
      </c>
      <c r="AA7" t="str">
        <f t="shared" si="5"/>
        <v>No</v>
      </c>
      <c r="AB7" t="str">
        <f t="shared" si="6"/>
        <v>No</v>
      </c>
    </row>
    <row r="8" spans="1:28">
      <c r="A8" t="s">
        <v>89</v>
      </c>
      <c r="B8" s="3">
        <v>45895</v>
      </c>
      <c r="C8" s="3">
        <v>45925</v>
      </c>
      <c r="D8" s="3"/>
      <c r="E8" t="s">
        <v>90</v>
      </c>
      <c r="F8" t="s">
        <v>12</v>
      </c>
      <c r="G8" t="s">
        <v>59</v>
      </c>
      <c r="H8" t="s">
        <v>60</v>
      </c>
      <c r="I8" t="s">
        <v>61</v>
      </c>
      <c r="J8" t="s">
        <v>72</v>
      </c>
      <c r="K8" s="4">
        <v>643000</v>
      </c>
      <c r="L8" s="4">
        <v>0</v>
      </c>
      <c r="M8" s="4">
        <f t="shared" si="0"/>
        <v>643000</v>
      </c>
      <c r="N8" s="4">
        <v>1297</v>
      </c>
      <c r="O8" s="4">
        <f t="shared" si="1"/>
        <v>643000</v>
      </c>
      <c r="P8" s="4">
        <f t="shared" si="2"/>
        <v>643000</v>
      </c>
      <c r="Q8" t="str">
        <f>IF(M8&lt;=0,"Cobrada",IF(L8&gt;0,"Parcial",IF(C8&lt;Resumen!$B$3,"Vencida",IF(C8&lt;=Resumen!$B$3+15,"Por vencer","Pendiente"))))</f>
        <v>Vencida</v>
      </c>
      <c r="R8" s="5">
        <f>IF(M8&lt;=0,MAX(0,D8-C8),MAX(0,Resumen!$B$3-C8))</f>
        <v>279</v>
      </c>
      <c r="S8" t="str">
        <f>IF(M8&lt;=0,"Sin prioridad",IF(R8&gt;60,"Alta",IF(R8&gt;30,"Media",IF(C8&lt;=Resumen!$B$3+15,"Media","Baja"))))</f>
        <v>Alta</v>
      </c>
      <c r="T8" t="s">
        <v>63</v>
      </c>
      <c r="U8" t="s">
        <v>91</v>
      </c>
      <c r="W8" s="3">
        <f t="shared" si="3"/>
        <v>45870</v>
      </c>
      <c r="X8" s="3">
        <f t="shared" si="4"/>
        <v>45901</v>
      </c>
      <c r="Y8" t="s">
        <v>66</v>
      </c>
      <c r="Z8" t="str">
        <f>IF(AND(M8&gt;0,C8&lt;Resumen!$B$3),"Sí","No")</f>
        <v>Sí</v>
      </c>
      <c r="AA8" t="str">
        <f t="shared" si="5"/>
        <v>No</v>
      </c>
      <c r="AB8" t="str">
        <f t="shared" si="6"/>
        <v>No</v>
      </c>
    </row>
    <row r="9" spans="1:28">
      <c r="A9" t="s">
        <v>92</v>
      </c>
      <c r="B9" s="3">
        <v>45870</v>
      </c>
      <c r="C9" s="3">
        <v>45930</v>
      </c>
      <c r="D9" s="3">
        <v>45962</v>
      </c>
      <c r="E9" t="s">
        <v>93</v>
      </c>
      <c r="F9" t="s">
        <v>19</v>
      </c>
      <c r="G9" t="s">
        <v>59</v>
      </c>
      <c r="H9" t="s">
        <v>70</v>
      </c>
      <c r="I9" t="s">
        <v>71</v>
      </c>
      <c r="J9" t="s">
        <v>72</v>
      </c>
      <c r="K9" s="4">
        <v>933000</v>
      </c>
      <c r="L9" s="4">
        <v>933000</v>
      </c>
      <c r="M9" s="4">
        <f t="shared" si="0"/>
        <v>0</v>
      </c>
      <c r="N9" s="4">
        <v>1297</v>
      </c>
      <c r="O9" s="4">
        <f t="shared" si="1"/>
        <v>933000</v>
      </c>
      <c r="P9" s="4">
        <f t="shared" si="2"/>
        <v>0</v>
      </c>
      <c r="Q9" t="str">
        <f>IF(M9&lt;=0,"Cobrada",IF(L9&gt;0,"Parcial",IF(C9&lt;Resumen!$B$3,"Vencida",IF(C9&lt;=Resumen!$B$3+15,"Por vencer","Pendiente"))))</f>
        <v>Cobrada</v>
      </c>
      <c r="R9" s="5">
        <f>IF(M9&lt;=0,MAX(0,D9-C9),MAX(0,Resumen!$B$3-C9))</f>
        <v>32</v>
      </c>
      <c r="S9" t="str">
        <f>IF(M9&lt;=0,"Sin prioridad",IF(R9&gt;60,"Alta",IF(R9&gt;30,"Media",IF(C9&lt;=Resumen!$B$3+15,"Media","Baja"))))</f>
        <v>Sin prioridad</v>
      </c>
      <c r="T9" t="s">
        <v>87</v>
      </c>
      <c r="U9" t="s">
        <v>64</v>
      </c>
      <c r="V9" t="s">
        <v>65</v>
      </c>
      <c r="W9" s="3">
        <f t="shared" si="3"/>
        <v>45870</v>
      </c>
      <c r="X9" s="3">
        <f t="shared" si="4"/>
        <v>45901</v>
      </c>
      <c r="Y9" t="s">
        <v>66</v>
      </c>
      <c r="Z9" t="str">
        <f>IF(AND(M9&gt;0,C9&lt;Resumen!$B$3),"Sí","No")</f>
        <v>No</v>
      </c>
      <c r="AA9" t="str">
        <f t="shared" si="5"/>
        <v>No</v>
      </c>
      <c r="AB9" t="str">
        <f t="shared" si="6"/>
        <v>No</v>
      </c>
    </row>
    <row r="10" spans="1:28">
      <c r="A10" t="s">
        <v>94</v>
      </c>
      <c r="B10" s="3">
        <v>45881</v>
      </c>
      <c r="C10" s="3">
        <v>45926</v>
      </c>
      <c r="D10" s="3"/>
      <c r="E10" t="s">
        <v>82</v>
      </c>
      <c r="F10" t="s">
        <v>15</v>
      </c>
      <c r="G10" t="s">
        <v>59</v>
      </c>
      <c r="H10" t="s">
        <v>60</v>
      </c>
      <c r="I10" t="s">
        <v>61</v>
      </c>
      <c r="J10" t="s">
        <v>72</v>
      </c>
      <c r="K10" s="4">
        <v>515000</v>
      </c>
      <c r="L10" s="4">
        <v>0</v>
      </c>
      <c r="M10" s="4">
        <f t="shared" si="0"/>
        <v>515000</v>
      </c>
      <c r="N10" s="4">
        <v>1297</v>
      </c>
      <c r="O10" s="4">
        <f t="shared" si="1"/>
        <v>515000</v>
      </c>
      <c r="P10" s="4">
        <f t="shared" si="2"/>
        <v>515000</v>
      </c>
      <c r="Q10" t="str">
        <f>IF(M10&lt;=0,"Cobrada",IF(L10&gt;0,"Parcial",IF(C10&lt;Resumen!$B$3,"Vencida",IF(C10&lt;=Resumen!$B$3+15,"Por vencer","Pendiente"))))</f>
        <v>Vencida</v>
      </c>
      <c r="R10" s="5">
        <f>IF(M10&lt;=0,MAX(0,D10-C10),MAX(0,Resumen!$B$3-C10))</f>
        <v>278</v>
      </c>
      <c r="S10" t="str">
        <f>IF(M10&lt;=0,"Sin prioridad",IF(R10&gt;60,"Alta",IF(R10&gt;30,"Media",IF(C10&lt;=Resumen!$B$3+15,"Media","Baja"))))</f>
        <v>Alta</v>
      </c>
      <c r="T10" t="s">
        <v>83</v>
      </c>
      <c r="U10" t="s">
        <v>95</v>
      </c>
      <c r="V10" t="s">
        <v>74</v>
      </c>
      <c r="W10" s="3">
        <f t="shared" si="3"/>
        <v>45870</v>
      </c>
      <c r="X10" s="3">
        <f t="shared" si="4"/>
        <v>45901</v>
      </c>
      <c r="Y10" t="s">
        <v>66</v>
      </c>
      <c r="Z10" t="str">
        <f>IF(AND(M10&gt;0,C10&lt;Resumen!$B$3),"Sí","No")</f>
        <v>Sí</v>
      </c>
      <c r="AA10" t="str">
        <f t="shared" si="5"/>
        <v>No</v>
      </c>
      <c r="AB10" t="str">
        <f t="shared" si="6"/>
        <v>No</v>
      </c>
    </row>
    <row r="11" spans="1:28">
      <c r="A11" t="s">
        <v>96</v>
      </c>
      <c r="B11" s="3">
        <v>45890</v>
      </c>
      <c r="C11" s="3">
        <v>45905</v>
      </c>
      <c r="D11" s="3">
        <v>45909</v>
      </c>
      <c r="E11" t="s">
        <v>97</v>
      </c>
      <c r="F11" t="s">
        <v>98</v>
      </c>
      <c r="G11" t="s">
        <v>59</v>
      </c>
      <c r="H11" t="s">
        <v>70</v>
      </c>
      <c r="I11" t="s">
        <v>71</v>
      </c>
      <c r="J11" t="s">
        <v>72</v>
      </c>
      <c r="K11" s="4">
        <v>356000</v>
      </c>
      <c r="L11" s="4">
        <v>356000</v>
      </c>
      <c r="M11" s="4">
        <f t="shared" si="0"/>
        <v>0</v>
      </c>
      <c r="N11" s="4">
        <v>1297</v>
      </c>
      <c r="O11" s="4">
        <f t="shared" si="1"/>
        <v>356000</v>
      </c>
      <c r="P11" s="4">
        <f t="shared" si="2"/>
        <v>0</v>
      </c>
      <c r="Q11" t="str">
        <f>IF(M11&lt;=0,"Cobrada",IF(L11&gt;0,"Parcial",IF(C11&lt;Resumen!$B$3,"Vencida",IF(C11&lt;=Resumen!$B$3+15,"Por vencer","Pendiente"))))</f>
        <v>Cobrada</v>
      </c>
      <c r="R11" s="5">
        <f>IF(M11&lt;=0,MAX(0,D11-C11),MAX(0,Resumen!$B$3-C11))</f>
        <v>4</v>
      </c>
      <c r="S11" t="str">
        <f>IF(M11&lt;=0,"Sin prioridad",IF(R11&gt;60,"Alta",IF(R11&gt;30,"Media",IF(C11&lt;=Resumen!$B$3+15,"Media","Baja"))))</f>
        <v>Sin prioridad</v>
      </c>
      <c r="T11" t="s">
        <v>87</v>
      </c>
      <c r="U11" t="s">
        <v>64</v>
      </c>
      <c r="W11" s="3">
        <f t="shared" si="3"/>
        <v>45870</v>
      </c>
      <c r="X11" s="3">
        <f t="shared" si="4"/>
        <v>45901</v>
      </c>
      <c r="Y11" t="s">
        <v>66</v>
      </c>
      <c r="Z11" t="str">
        <f>IF(AND(M11&gt;0,C11&lt;Resumen!$B$3),"Sí","No")</f>
        <v>No</v>
      </c>
      <c r="AA11" t="str">
        <f t="shared" si="5"/>
        <v>No</v>
      </c>
      <c r="AB11" t="str">
        <f t="shared" si="6"/>
        <v>No</v>
      </c>
    </row>
    <row r="12" spans="1:28">
      <c r="A12" t="s">
        <v>99</v>
      </c>
      <c r="B12" s="3">
        <v>45883</v>
      </c>
      <c r="C12" s="3">
        <v>45913</v>
      </c>
      <c r="D12" s="3">
        <v>45918</v>
      </c>
      <c r="E12" t="s">
        <v>100</v>
      </c>
      <c r="F12" t="s">
        <v>101</v>
      </c>
      <c r="G12" t="s">
        <v>59</v>
      </c>
      <c r="H12" t="s">
        <v>70</v>
      </c>
      <c r="I12" t="s">
        <v>71</v>
      </c>
      <c r="J12" t="s">
        <v>72</v>
      </c>
      <c r="K12" s="4">
        <v>899000</v>
      </c>
      <c r="L12" s="4">
        <v>899000</v>
      </c>
      <c r="M12" s="4">
        <f t="shared" si="0"/>
        <v>0</v>
      </c>
      <c r="N12" s="4">
        <v>1297</v>
      </c>
      <c r="O12" s="4">
        <f t="shared" si="1"/>
        <v>899000</v>
      </c>
      <c r="P12" s="4">
        <f t="shared" si="2"/>
        <v>0</v>
      </c>
      <c r="Q12" t="str">
        <f>IF(M12&lt;=0,"Cobrada",IF(L12&gt;0,"Parcial",IF(C12&lt;Resumen!$B$3,"Vencida",IF(C12&lt;=Resumen!$B$3+15,"Por vencer","Pendiente"))))</f>
        <v>Cobrada</v>
      </c>
      <c r="R12" s="5">
        <f>IF(M12&lt;=0,MAX(0,D12-C12),MAX(0,Resumen!$B$3-C12))</f>
        <v>5</v>
      </c>
      <c r="S12" t="str">
        <f>IF(M12&lt;=0,"Sin prioridad",IF(R12&gt;60,"Alta",IF(R12&gt;30,"Media",IF(C12&lt;=Resumen!$B$3+15,"Media","Baja"))))</f>
        <v>Sin prioridad</v>
      </c>
      <c r="T12" t="s">
        <v>87</v>
      </c>
      <c r="U12" t="s">
        <v>64</v>
      </c>
      <c r="W12" s="3">
        <f t="shared" si="3"/>
        <v>45870</v>
      </c>
      <c r="X12" s="3">
        <f t="shared" si="4"/>
        <v>45901</v>
      </c>
      <c r="Y12" t="s">
        <v>66</v>
      </c>
      <c r="Z12" t="str">
        <f>IF(AND(M12&gt;0,C12&lt;Resumen!$B$3),"Sí","No")</f>
        <v>No</v>
      </c>
      <c r="AA12" t="str">
        <f t="shared" si="5"/>
        <v>No</v>
      </c>
      <c r="AB12" t="str">
        <f t="shared" si="6"/>
        <v>No</v>
      </c>
    </row>
    <row r="13" spans="1:28">
      <c r="A13" t="s">
        <v>102</v>
      </c>
      <c r="B13" s="3">
        <v>45878</v>
      </c>
      <c r="C13" s="3">
        <v>45908</v>
      </c>
      <c r="D13" s="3">
        <v>45912</v>
      </c>
      <c r="E13" t="s">
        <v>100</v>
      </c>
      <c r="F13" t="s">
        <v>101</v>
      </c>
      <c r="G13" t="s">
        <v>59</v>
      </c>
      <c r="H13" t="s">
        <v>60</v>
      </c>
      <c r="I13" t="s">
        <v>61</v>
      </c>
      <c r="J13" t="s">
        <v>72</v>
      </c>
      <c r="K13" s="4">
        <v>817000</v>
      </c>
      <c r="L13" s="4">
        <v>817000</v>
      </c>
      <c r="M13" s="4">
        <f t="shared" si="0"/>
        <v>0</v>
      </c>
      <c r="N13" s="4">
        <v>1297</v>
      </c>
      <c r="O13" s="4">
        <f t="shared" si="1"/>
        <v>817000</v>
      </c>
      <c r="P13" s="4">
        <f t="shared" si="2"/>
        <v>0</v>
      </c>
      <c r="Q13" t="str">
        <f>IF(M13&lt;=0,"Cobrada",IF(L13&gt;0,"Parcial",IF(C13&lt;Resumen!$B$3,"Vencida",IF(C13&lt;=Resumen!$B$3+15,"Por vencer","Pendiente"))))</f>
        <v>Cobrada</v>
      </c>
      <c r="R13" s="5">
        <f>IF(M13&lt;=0,MAX(0,D13-C13),MAX(0,Resumen!$B$3-C13))</f>
        <v>4</v>
      </c>
      <c r="S13" t="str">
        <f>IF(M13&lt;=0,"Sin prioridad",IF(R13&gt;60,"Alta",IF(R13&gt;30,"Media",IF(C13&lt;=Resumen!$B$3+15,"Media","Baja"))))</f>
        <v>Sin prioridad</v>
      </c>
      <c r="T13" t="s">
        <v>87</v>
      </c>
      <c r="U13" t="s">
        <v>64</v>
      </c>
      <c r="W13" s="3">
        <f t="shared" si="3"/>
        <v>45870</v>
      </c>
      <c r="X13" s="3">
        <f t="shared" si="4"/>
        <v>45901</v>
      </c>
      <c r="Y13" t="s">
        <v>66</v>
      </c>
      <c r="Z13" t="str">
        <f>IF(AND(M13&gt;0,C13&lt;Resumen!$B$3),"Sí","No")</f>
        <v>No</v>
      </c>
      <c r="AA13" t="str">
        <f t="shared" si="5"/>
        <v>No</v>
      </c>
      <c r="AB13" t="str">
        <f t="shared" si="6"/>
        <v>No</v>
      </c>
    </row>
    <row r="14" spans="1:28">
      <c r="A14" t="s">
        <v>103</v>
      </c>
      <c r="B14" s="3">
        <v>45882</v>
      </c>
      <c r="C14" s="3">
        <v>45927</v>
      </c>
      <c r="D14" s="3">
        <v>45961</v>
      </c>
      <c r="E14" t="s">
        <v>104</v>
      </c>
      <c r="F14" t="s">
        <v>28</v>
      </c>
      <c r="G14" t="s">
        <v>59</v>
      </c>
      <c r="H14" t="s">
        <v>60</v>
      </c>
      <c r="I14" t="s">
        <v>61</v>
      </c>
      <c r="J14" t="s">
        <v>72</v>
      </c>
      <c r="K14" s="4">
        <v>752000</v>
      </c>
      <c r="L14" s="4">
        <v>280330.49</v>
      </c>
      <c r="M14" s="4">
        <f t="shared" si="0"/>
        <v>471669.51</v>
      </c>
      <c r="N14" s="4">
        <v>1297</v>
      </c>
      <c r="O14" s="4">
        <f t="shared" si="1"/>
        <v>752000</v>
      </c>
      <c r="P14" s="4">
        <f t="shared" si="2"/>
        <v>471669.51</v>
      </c>
      <c r="Q14" t="str">
        <f>IF(M14&lt;=0,"Cobrada",IF(L14&gt;0,"Parcial",IF(C14&lt;Resumen!$B$3,"Vencida",IF(C14&lt;=Resumen!$B$3+15,"Por vencer","Pendiente"))))</f>
        <v>Parcial</v>
      </c>
      <c r="R14" s="5">
        <f>IF(M14&lt;=0,MAX(0,D14-C14),MAX(0,Resumen!$B$3-C14))</f>
        <v>277</v>
      </c>
      <c r="S14" t="str">
        <f>IF(M14&lt;=0,"Sin prioridad",IF(R14&gt;60,"Alta",IF(R14&gt;30,"Media",IF(C14&lt;=Resumen!$B$3+15,"Media","Baja"))))</f>
        <v>Alta</v>
      </c>
      <c r="T14" t="s">
        <v>83</v>
      </c>
      <c r="U14" t="s">
        <v>105</v>
      </c>
      <c r="V14" t="s">
        <v>106</v>
      </c>
      <c r="W14" s="3">
        <f t="shared" si="3"/>
        <v>45870</v>
      </c>
      <c r="X14" s="3">
        <f t="shared" si="4"/>
        <v>45901</v>
      </c>
      <c r="Y14" t="s">
        <v>66</v>
      </c>
      <c r="Z14" t="str">
        <f>IF(AND(M14&gt;0,C14&lt;Resumen!$B$3),"Sí","No")</f>
        <v>Sí</v>
      </c>
      <c r="AA14" t="str">
        <f t="shared" si="5"/>
        <v>Sí</v>
      </c>
      <c r="AB14" t="str">
        <f t="shared" si="6"/>
        <v>No</v>
      </c>
    </row>
    <row r="15" spans="1:28">
      <c r="A15" t="s">
        <v>107</v>
      </c>
      <c r="B15" s="3">
        <v>45882</v>
      </c>
      <c r="C15" s="3">
        <v>45897</v>
      </c>
      <c r="D15" s="3">
        <v>45914</v>
      </c>
      <c r="E15" t="s">
        <v>108</v>
      </c>
      <c r="F15" t="s">
        <v>109</v>
      </c>
      <c r="G15" t="s">
        <v>59</v>
      </c>
      <c r="H15" t="s">
        <v>110</v>
      </c>
      <c r="I15" t="s">
        <v>111</v>
      </c>
      <c r="J15" t="s">
        <v>72</v>
      </c>
      <c r="K15" s="4">
        <v>1136000</v>
      </c>
      <c r="L15" s="4">
        <v>1136000</v>
      </c>
      <c r="M15" s="4">
        <f t="shared" si="0"/>
        <v>0</v>
      </c>
      <c r="N15" s="4">
        <v>1297</v>
      </c>
      <c r="O15" s="4">
        <f t="shared" si="1"/>
        <v>1136000</v>
      </c>
      <c r="P15" s="4">
        <f t="shared" si="2"/>
        <v>0</v>
      </c>
      <c r="Q15" t="str">
        <f>IF(M15&lt;=0,"Cobrada",IF(L15&gt;0,"Parcial",IF(C15&lt;Resumen!$B$3,"Vencida",IF(C15&lt;=Resumen!$B$3+15,"Por vencer","Pendiente"))))</f>
        <v>Cobrada</v>
      </c>
      <c r="R15" s="5">
        <f>IF(M15&lt;=0,MAX(0,D15-C15),MAX(0,Resumen!$B$3-C15))</f>
        <v>17</v>
      </c>
      <c r="S15" t="str">
        <f>IF(M15&lt;=0,"Sin prioridad",IF(R15&gt;60,"Alta",IF(R15&gt;30,"Media",IF(C15&lt;=Resumen!$B$3+15,"Media","Baja"))))</f>
        <v>Sin prioridad</v>
      </c>
      <c r="T15" t="s">
        <v>63</v>
      </c>
      <c r="U15" t="s">
        <v>64</v>
      </c>
      <c r="V15" t="s">
        <v>106</v>
      </c>
      <c r="W15" s="3">
        <f t="shared" si="3"/>
        <v>45870</v>
      </c>
      <c r="X15" s="3">
        <f t="shared" si="4"/>
        <v>45870</v>
      </c>
      <c r="Y15" t="s">
        <v>66</v>
      </c>
      <c r="Z15" t="str">
        <f>IF(AND(M15&gt;0,C15&lt;Resumen!$B$3),"Sí","No")</f>
        <v>No</v>
      </c>
      <c r="AA15" t="str">
        <f t="shared" si="5"/>
        <v>No</v>
      </c>
      <c r="AB15" t="str">
        <f t="shared" si="6"/>
        <v>No</v>
      </c>
    </row>
    <row r="16" spans="1:28">
      <c r="A16" t="s">
        <v>112</v>
      </c>
      <c r="B16" s="3">
        <v>45886</v>
      </c>
      <c r="C16" s="3">
        <v>45916</v>
      </c>
      <c r="D16" s="3">
        <v>45911</v>
      </c>
      <c r="E16" t="s">
        <v>100</v>
      </c>
      <c r="F16" t="s">
        <v>101</v>
      </c>
      <c r="G16" t="s">
        <v>59</v>
      </c>
      <c r="H16" t="s">
        <v>113</v>
      </c>
      <c r="I16" t="s">
        <v>114</v>
      </c>
      <c r="J16" t="s">
        <v>62</v>
      </c>
      <c r="K16" s="4">
        <v>1100</v>
      </c>
      <c r="L16" s="4">
        <v>1100</v>
      </c>
      <c r="M16" s="4">
        <f t="shared" si="0"/>
        <v>0</v>
      </c>
      <c r="N16" s="4">
        <v>1297</v>
      </c>
      <c r="O16" s="4">
        <f t="shared" si="1"/>
        <v>1426700</v>
      </c>
      <c r="P16" s="4">
        <f t="shared" si="2"/>
        <v>0</v>
      </c>
      <c r="Q16" t="str">
        <f>IF(M16&lt;=0,"Cobrada",IF(L16&gt;0,"Parcial",IF(C16&lt;Resumen!$B$3,"Vencida",IF(C16&lt;=Resumen!$B$3+15,"Por vencer","Pendiente"))))</f>
        <v>Cobrada</v>
      </c>
      <c r="R16" s="5">
        <f>IF(M16&lt;=0,MAX(0,D16-C16),MAX(0,Resumen!$B$3-C16))</f>
        <v>0</v>
      </c>
      <c r="S16" t="str">
        <f>IF(M16&lt;=0,"Sin prioridad",IF(R16&gt;60,"Alta",IF(R16&gt;30,"Media",IF(C16&lt;=Resumen!$B$3+15,"Media","Baja"))))</f>
        <v>Sin prioridad</v>
      </c>
      <c r="T16" t="s">
        <v>87</v>
      </c>
      <c r="U16" t="s">
        <v>64</v>
      </c>
      <c r="W16" s="3">
        <f t="shared" si="3"/>
        <v>45870</v>
      </c>
      <c r="X16" s="3">
        <f t="shared" si="4"/>
        <v>45901</v>
      </c>
      <c r="Y16" t="s">
        <v>66</v>
      </c>
      <c r="Z16" t="str">
        <f>IF(AND(M16&gt;0,C16&lt;Resumen!$B$3),"Sí","No")</f>
        <v>No</v>
      </c>
      <c r="AA16" t="str">
        <f t="shared" si="5"/>
        <v>No</v>
      </c>
      <c r="AB16" t="str">
        <f t="shared" si="6"/>
        <v>Sí</v>
      </c>
    </row>
    <row r="17" spans="1:28">
      <c r="A17" t="s">
        <v>115</v>
      </c>
      <c r="B17" s="3">
        <v>45883</v>
      </c>
      <c r="C17" s="3">
        <v>45898</v>
      </c>
      <c r="D17" s="3">
        <v>45921</v>
      </c>
      <c r="E17" t="s">
        <v>58</v>
      </c>
      <c r="F17" t="s">
        <v>10</v>
      </c>
      <c r="G17" t="s">
        <v>59</v>
      </c>
      <c r="H17" t="s">
        <v>70</v>
      </c>
      <c r="I17" t="s">
        <v>71</v>
      </c>
      <c r="J17" t="s">
        <v>72</v>
      </c>
      <c r="K17" s="4">
        <v>825000</v>
      </c>
      <c r="L17" s="4">
        <v>825000</v>
      </c>
      <c r="M17" s="4">
        <f t="shared" si="0"/>
        <v>0</v>
      </c>
      <c r="N17" s="4">
        <v>1297</v>
      </c>
      <c r="O17" s="4">
        <f t="shared" si="1"/>
        <v>825000</v>
      </c>
      <c r="P17" s="4">
        <f t="shared" si="2"/>
        <v>0</v>
      </c>
      <c r="Q17" t="str">
        <f>IF(M17&lt;=0,"Cobrada",IF(L17&gt;0,"Parcial",IF(C17&lt;Resumen!$B$3,"Vencida",IF(C17&lt;=Resumen!$B$3+15,"Por vencer","Pendiente"))))</f>
        <v>Cobrada</v>
      </c>
      <c r="R17" s="5">
        <f>IF(M17&lt;=0,MAX(0,D17-C17),MAX(0,Resumen!$B$3-C17))</f>
        <v>23</v>
      </c>
      <c r="S17" t="str">
        <f>IF(M17&lt;=0,"Sin prioridad",IF(R17&gt;60,"Alta",IF(R17&gt;30,"Media",IF(C17&lt;=Resumen!$B$3+15,"Media","Baja"))))</f>
        <v>Sin prioridad</v>
      </c>
      <c r="T17" t="s">
        <v>63</v>
      </c>
      <c r="U17" t="s">
        <v>64</v>
      </c>
      <c r="V17" t="s">
        <v>78</v>
      </c>
      <c r="W17" s="3">
        <f t="shared" si="3"/>
        <v>45870</v>
      </c>
      <c r="X17" s="3">
        <f t="shared" si="4"/>
        <v>45870</v>
      </c>
      <c r="Y17" t="s">
        <v>66</v>
      </c>
      <c r="Z17" t="str">
        <f>IF(AND(M17&gt;0,C17&lt;Resumen!$B$3),"Sí","No")</f>
        <v>No</v>
      </c>
      <c r="AA17" t="str">
        <f t="shared" si="5"/>
        <v>No</v>
      </c>
      <c r="AB17" t="str">
        <f t="shared" si="6"/>
        <v>No</v>
      </c>
    </row>
    <row r="18" spans="1:28">
      <c r="A18" t="s">
        <v>116</v>
      </c>
      <c r="B18" s="3">
        <v>45880</v>
      </c>
      <c r="C18" s="3">
        <v>45895</v>
      </c>
      <c r="D18" s="3">
        <v>45939</v>
      </c>
      <c r="E18" t="s">
        <v>58</v>
      </c>
      <c r="F18" t="s">
        <v>10</v>
      </c>
      <c r="G18" t="s">
        <v>59</v>
      </c>
      <c r="H18" t="s">
        <v>70</v>
      </c>
      <c r="I18" t="s">
        <v>71</v>
      </c>
      <c r="J18" t="s">
        <v>72</v>
      </c>
      <c r="K18" s="4">
        <v>503000</v>
      </c>
      <c r="L18" s="4">
        <v>503000</v>
      </c>
      <c r="M18" s="4">
        <f t="shared" si="0"/>
        <v>0</v>
      </c>
      <c r="N18" s="4">
        <v>1297</v>
      </c>
      <c r="O18" s="4">
        <f t="shared" si="1"/>
        <v>503000</v>
      </c>
      <c r="P18" s="4">
        <f t="shared" si="2"/>
        <v>0</v>
      </c>
      <c r="Q18" t="str">
        <f>IF(M18&lt;=0,"Cobrada",IF(L18&gt;0,"Parcial",IF(C18&lt;Resumen!$B$3,"Vencida",IF(C18&lt;=Resumen!$B$3+15,"Por vencer","Pendiente"))))</f>
        <v>Cobrada</v>
      </c>
      <c r="R18" s="5">
        <f>IF(M18&lt;=0,MAX(0,D18-C18),MAX(0,Resumen!$B$3-C18))</f>
        <v>44</v>
      </c>
      <c r="S18" t="str">
        <f>IF(M18&lt;=0,"Sin prioridad",IF(R18&gt;60,"Alta",IF(R18&gt;30,"Media",IF(C18&lt;=Resumen!$B$3+15,"Media","Baja"))))</f>
        <v>Sin prioridad</v>
      </c>
      <c r="T18" t="s">
        <v>63</v>
      </c>
      <c r="U18" t="s">
        <v>64</v>
      </c>
      <c r="V18" t="s">
        <v>80</v>
      </c>
      <c r="W18" s="3">
        <f t="shared" si="3"/>
        <v>45870</v>
      </c>
      <c r="X18" s="3">
        <f t="shared" si="4"/>
        <v>45870</v>
      </c>
      <c r="Y18" t="s">
        <v>66</v>
      </c>
      <c r="Z18" t="str">
        <f>IF(AND(M18&gt;0,C18&lt;Resumen!$B$3),"Sí","No")</f>
        <v>No</v>
      </c>
      <c r="AA18" t="str">
        <f t="shared" si="5"/>
        <v>No</v>
      </c>
      <c r="AB18" t="str">
        <f t="shared" si="6"/>
        <v>No</v>
      </c>
    </row>
    <row r="19" spans="1:28">
      <c r="A19" t="s">
        <v>117</v>
      </c>
      <c r="B19" s="3">
        <v>45895</v>
      </c>
      <c r="C19" s="3">
        <v>45925</v>
      </c>
      <c r="D19" s="3">
        <v>45942</v>
      </c>
      <c r="E19" t="s">
        <v>118</v>
      </c>
      <c r="F19" t="s">
        <v>22</v>
      </c>
      <c r="G19" t="s">
        <v>59</v>
      </c>
      <c r="H19" t="s">
        <v>113</v>
      </c>
      <c r="I19" t="s">
        <v>114</v>
      </c>
      <c r="J19" t="s">
        <v>62</v>
      </c>
      <c r="K19" s="4">
        <v>1800</v>
      </c>
      <c r="L19" s="4">
        <v>1800</v>
      </c>
      <c r="M19" s="4">
        <f t="shared" si="0"/>
        <v>0</v>
      </c>
      <c r="N19" s="4">
        <v>1297</v>
      </c>
      <c r="O19" s="4">
        <f t="shared" si="1"/>
        <v>2334600</v>
      </c>
      <c r="P19" s="4">
        <f t="shared" si="2"/>
        <v>0</v>
      </c>
      <c r="Q19" t="str">
        <f>IF(M19&lt;=0,"Cobrada",IF(L19&gt;0,"Parcial",IF(C19&lt;Resumen!$B$3,"Vencida",IF(C19&lt;=Resumen!$B$3+15,"Por vencer","Pendiente"))))</f>
        <v>Cobrada</v>
      </c>
      <c r="R19" s="5">
        <f>IF(M19&lt;=0,MAX(0,D19-C19),MAX(0,Resumen!$B$3-C19))</f>
        <v>17</v>
      </c>
      <c r="S19" t="str">
        <f>IF(M19&lt;=0,"Sin prioridad",IF(R19&gt;60,"Alta",IF(R19&gt;30,"Media",IF(C19&lt;=Resumen!$B$3+15,"Media","Baja"))))</f>
        <v>Sin prioridad</v>
      </c>
      <c r="T19" t="s">
        <v>87</v>
      </c>
      <c r="U19" t="s">
        <v>64</v>
      </c>
      <c r="V19" t="s">
        <v>106</v>
      </c>
      <c r="W19" s="3">
        <f t="shared" si="3"/>
        <v>45870</v>
      </c>
      <c r="X19" s="3">
        <f t="shared" si="4"/>
        <v>45901</v>
      </c>
      <c r="Y19" t="s">
        <v>66</v>
      </c>
      <c r="Z19" t="str">
        <f>IF(AND(M19&gt;0,C19&lt;Resumen!$B$3),"Sí","No")</f>
        <v>No</v>
      </c>
      <c r="AA19" t="str">
        <f t="shared" si="5"/>
        <v>No</v>
      </c>
      <c r="AB19" t="str">
        <f t="shared" si="6"/>
        <v>Sí</v>
      </c>
    </row>
    <row r="20" spans="1:28">
      <c r="A20" t="s">
        <v>119</v>
      </c>
      <c r="B20" s="3">
        <v>45880</v>
      </c>
      <c r="C20" s="3">
        <v>45925</v>
      </c>
      <c r="D20" s="3">
        <v>45962</v>
      </c>
      <c r="E20" t="s">
        <v>120</v>
      </c>
      <c r="F20" t="s">
        <v>14</v>
      </c>
      <c r="G20" t="s">
        <v>59</v>
      </c>
      <c r="H20" t="s">
        <v>110</v>
      </c>
      <c r="I20" t="s">
        <v>111</v>
      </c>
      <c r="J20" t="s">
        <v>72</v>
      </c>
      <c r="K20" s="4">
        <v>742000</v>
      </c>
      <c r="L20" s="4">
        <v>299304.39</v>
      </c>
      <c r="M20" s="4">
        <f t="shared" si="0"/>
        <v>442695.61</v>
      </c>
      <c r="N20" s="4">
        <v>1297</v>
      </c>
      <c r="O20" s="4">
        <f t="shared" si="1"/>
        <v>742000</v>
      </c>
      <c r="P20" s="4">
        <f t="shared" si="2"/>
        <v>442695.61</v>
      </c>
      <c r="Q20" t="str">
        <f>IF(M20&lt;=0,"Cobrada",IF(L20&gt;0,"Parcial",IF(C20&lt;Resumen!$B$3,"Vencida",IF(C20&lt;=Resumen!$B$3+15,"Por vencer","Pendiente"))))</f>
        <v>Parcial</v>
      </c>
      <c r="R20" s="5">
        <f>IF(M20&lt;=0,MAX(0,D20-C20),MAX(0,Resumen!$B$3-C20))</f>
        <v>279</v>
      </c>
      <c r="S20" t="str">
        <f>IF(M20&lt;=0,"Sin prioridad",IF(R20&gt;60,"Alta",IF(R20&gt;30,"Media",IF(C20&lt;=Resumen!$B$3+15,"Media","Baja"))))</f>
        <v>Alta</v>
      </c>
      <c r="T20" t="s">
        <v>63</v>
      </c>
      <c r="U20" t="s">
        <v>105</v>
      </c>
      <c r="W20" s="3">
        <f t="shared" si="3"/>
        <v>45870</v>
      </c>
      <c r="X20" s="3">
        <f t="shared" si="4"/>
        <v>45901</v>
      </c>
      <c r="Y20" t="s">
        <v>66</v>
      </c>
      <c r="Z20" t="str">
        <f>IF(AND(M20&gt;0,C20&lt;Resumen!$B$3),"Sí","No")</f>
        <v>Sí</v>
      </c>
      <c r="AA20" t="str">
        <f t="shared" si="5"/>
        <v>Sí</v>
      </c>
      <c r="AB20" t="str">
        <f t="shared" si="6"/>
        <v>No</v>
      </c>
    </row>
    <row r="21" spans="1:28">
      <c r="A21" t="s">
        <v>121</v>
      </c>
      <c r="B21" s="3">
        <v>45882</v>
      </c>
      <c r="C21" s="3">
        <v>45897</v>
      </c>
      <c r="D21" s="3">
        <v>45909</v>
      </c>
      <c r="E21" t="s">
        <v>108</v>
      </c>
      <c r="F21" t="s">
        <v>109</v>
      </c>
      <c r="G21" t="s">
        <v>59</v>
      </c>
      <c r="H21" t="s">
        <v>70</v>
      </c>
      <c r="I21" t="s">
        <v>71</v>
      </c>
      <c r="J21" t="s">
        <v>72</v>
      </c>
      <c r="K21" s="4">
        <v>404000</v>
      </c>
      <c r="L21" s="4">
        <v>404000</v>
      </c>
      <c r="M21" s="4">
        <f t="shared" si="0"/>
        <v>0</v>
      </c>
      <c r="N21" s="4">
        <v>1297</v>
      </c>
      <c r="O21" s="4">
        <f t="shared" si="1"/>
        <v>404000</v>
      </c>
      <c r="P21" s="4">
        <f t="shared" si="2"/>
        <v>0</v>
      </c>
      <c r="Q21" t="str">
        <f>IF(M21&lt;=0,"Cobrada",IF(L21&gt;0,"Parcial",IF(C21&lt;Resumen!$B$3,"Vencida",IF(C21&lt;=Resumen!$B$3+15,"Por vencer","Pendiente"))))</f>
        <v>Cobrada</v>
      </c>
      <c r="R21" s="5">
        <f>IF(M21&lt;=0,MAX(0,D21-C21),MAX(0,Resumen!$B$3-C21))</f>
        <v>12</v>
      </c>
      <c r="S21" t="str">
        <f>IF(M21&lt;=0,"Sin prioridad",IF(R21&gt;60,"Alta",IF(R21&gt;30,"Media",IF(C21&lt;=Resumen!$B$3+15,"Media","Baja"))))</f>
        <v>Sin prioridad</v>
      </c>
      <c r="T21" t="s">
        <v>63</v>
      </c>
      <c r="U21" t="s">
        <v>64</v>
      </c>
      <c r="V21" t="s">
        <v>74</v>
      </c>
      <c r="W21" s="3">
        <f t="shared" si="3"/>
        <v>45870</v>
      </c>
      <c r="X21" s="3">
        <f t="shared" si="4"/>
        <v>45870</v>
      </c>
      <c r="Y21" t="s">
        <v>66</v>
      </c>
      <c r="Z21" t="str">
        <f>IF(AND(M21&gt;0,C21&lt;Resumen!$B$3),"Sí","No")</f>
        <v>No</v>
      </c>
      <c r="AA21" t="str">
        <f t="shared" si="5"/>
        <v>No</v>
      </c>
      <c r="AB21" t="str">
        <f t="shared" si="6"/>
        <v>No</v>
      </c>
    </row>
    <row r="22" spans="1:28">
      <c r="A22" t="s">
        <v>122</v>
      </c>
      <c r="B22" s="3">
        <v>45892</v>
      </c>
      <c r="C22" s="3">
        <v>45952</v>
      </c>
      <c r="D22" s="3"/>
      <c r="E22" t="s">
        <v>93</v>
      </c>
      <c r="F22" t="s">
        <v>19</v>
      </c>
      <c r="G22" t="s">
        <v>59</v>
      </c>
      <c r="H22" t="s">
        <v>113</v>
      </c>
      <c r="I22" t="s">
        <v>114</v>
      </c>
      <c r="J22" t="s">
        <v>72</v>
      </c>
      <c r="K22" s="4">
        <v>1586000</v>
      </c>
      <c r="L22" s="4">
        <v>0</v>
      </c>
      <c r="M22" s="4">
        <f t="shared" si="0"/>
        <v>1586000</v>
      </c>
      <c r="N22" s="4">
        <v>1297</v>
      </c>
      <c r="O22" s="4">
        <f t="shared" si="1"/>
        <v>1586000</v>
      </c>
      <c r="P22" s="4">
        <f t="shared" si="2"/>
        <v>1586000</v>
      </c>
      <c r="Q22" t="str">
        <f>IF(M22&lt;=0,"Cobrada",IF(L22&gt;0,"Parcial",IF(C22&lt;Resumen!$B$3,"Vencida",IF(C22&lt;=Resumen!$B$3+15,"Por vencer","Pendiente"))))</f>
        <v>Vencida</v>
      </c>
      <c r="R22" s="5">
        <f>IF(M22&lt;=0,MAX(0,D22-C22),MAX(0,Resumen!$B$3-C22))</f>
        <v>252</v>
      </c>
      <c r="S22" t="str">
        <f>IF(M22&lt;=0,"Sin prioridad",IF(R22&gt;60,"Alta",IF(R22&gt;30,"Media",IF(C22&lt;=Resumen!$B$3+15,"Media","Baja"))))</f>
        <v>Alta</v>
      </c>
      <c r="T22" t="s">
        <v>87</v>
      </c>
      <c r="U22" t="s">
        <v>91</v>
      </c>
      <c r="V22" t="s">
        <v>65</v>
      </c>
      <c r="W22" s="3">
        <f t="shared" si="3"/>
        <v>45870</v>
      </c>
      <c r="X22" s="3">
        <f t="shared" si="4"/>
        <v>45931</v>
      </c>
      <c r="Y22" t="s">
        <v>66</v>
      </c>
      <c r="Z22" t="str">
        <f>IF(AND(M22&gt;0,C22&lt;Resumen!$B$3),"Sí","No")</f>
        <v>Sí</v>
      </c>
      <c r="AA22" t="str">
        <f t="shared" si="5"/>
        <v>No</v>
      </c>
      <c r="AB22" t="str">
        <f t="shared" si="6"/>
        <v>No</v>
      </c>
    </row>
    <row r="23" spans="1:28">
      <c r="A23" t="s">
        <v>123</v>
      </c>
      <c r="B23" s="3">
        <v>45876</v>
      </c>
      <c r="C23" s="3">
        <v>45891</v>
      </c>
      <c r="D23" s="3">
        <v>45899</v>
      </c>
      <c r="E23" t="s">
        <v>68</v>
      </c>
      <c r="F23" t="s">
        <v>69</v>
      </c>
      <c r="G23" t="s">
        <v>59</v>
      </c>
      <c r="H23" t="s">
        <v>70</v>
      </c>
      <c r="I23" t="s">
        <v>71</v>
      </c>
      <c r="J23" t="s">
        <v>62</v>
      </c>
      <c r="K23" s="4">
        <v>300</v>
      </c>
      <c r="L23" s="4">
        <v>300</v>
      </c>
      <c r="M23" s="4">
        <f t="shared" si="0"/>
        <v>0</v>
      </c>
      <c r="N23" s="4">
        <v>1297</v>
      </c>
      <c r="O23" s="4">
        <f t="shared" si="1"/>
        <v>389100</v>
      </c>
      <c r="P23" s="4">
        <f t="shared" si="2"/>
        <v>0</v>
      </c>
      <c r="Q23" t="str">
        <f>IF(M23&lt;=0,"Cobrada",IF(L23&gt;0,"Parcial",IF(C23&lt;Resumen!$B$3,"Vencida",IF(C23&lt;=Resumen!$B$3+15,"Por vencer","Pendiente"))))</f>
        <v>Cobrada</v>
      </c>
      <c r="R23" s="5">
        <f>IF(M23&lt;=0,MAX(0,D23-C23),MAX(0,Resumen!$B$3-C23))</f>
        <v>8</v>
      </c>
      <c r="S23" t="str">
        <f>IF(M23&lt;=0,"Sin prioridad",IF(R23&gt;60,"Alta",IF(R23&gt;30,"Media",IF(C23&lt;=Resumen!$B$3+15,"Media","Baja"))))</f>
        <v>Sin prioridad</v>
      </c>
      <c r="T23" t="s">
        <v>73</v>
      </c>
      <c r="U23" t="s">
        <v>64</v>
      </c>
      <c r="V23" t="s">
        <v>106</v>
      </c>
      <c r="W23" s="3">
        <f t="shared" si="3"/>
        <v>45870</v>
      </c>
      <c r="X23" s="3">
        <f t="shared" si="4"/>
        <v>45870</v>
      </c>
      <c r="Y23" t="s">
        <v>66</v>
      </c>
      <c r="Z23" t="str">
        <f>IF(AND(M23&gt;0,C23&lt;Resumen!$B$3),"Sí","No")</f>
        <v>No</v>
      </c>
      <c r="AA23" t="str">
        <f t="shared" si="5"/>
        <v>No</v>
      </c>
      <c r="AB23" t="str">
        <f t="shared" si="6"/>
        <v>Sí</v>
      </c>
    </row>
    <row r="24" spans="1:28">
      <c r="A24" t="s">
        <v>124</v>
      </c>
      <c r="B24" s="3">
        <v>45878</v>
      </c>
      <c r="C24" s="3">
        <v>45923</v>
      </c>
      <c r="D24" s="3">
        <v>45923</v>
      </c>
      <c r="E24" t="s">
        <v>125</v>
      </c>
      <c r="F24" t="s">
        <v>126</v>
      </c>
      <c r="G24" t="s">
        <v>59</v>
      </c>
      <c r="H24" t="s">
        <v>113</v>
      </c>
      <c r="I24" t="s">
        <v>114</v>
      </c>
      <c r="J24" t="s">
        <v>62</v>
      </c>
      <c r="K24" s="4">
        <v>2300</v>
      </c>
      <c r="L24" s="4">
        <v>2300</v>
      </c>
      <c r="M24" s="4">
        <f t="shared" si="0"/>
        <v>0</v>
      </c>
      <c r="N24" s="4">
        <v>1297</v>
      </c>
      <c r="O24" s="4">
        <f t="shared" si="1"/>
        <v>2983100</v>
      </c>
      <c r="P24" s="4">
        <f t="shared" si="2"/>
        <v>0</v>
      </c>
      <c r="Q24" t="str">
        <f>IF(M24&lt;=0,"Cobrada",IF(L24&gt;0,"Parcial",IF(C24&lt;Resumen!$B$3,"Vencida",IF(C24&lt;=Resumen!$B$3+15,"Por vencer","Pendiente"))))</f>
        <v>Cobrada</v>
      </c>
      <c r="R24" s="5">
        <f>IF(M24&lt;=0,MAX(0,D24-C24),MAX(0,Resumen!$B$3-C24))</f>
        <v>0</v>
      </c>
      <c r="S24" t="str">
        <f>IF(M24&lt;=0,"Sin prioridad",IF(R24&gt;60,"Alta",IF(R24&gt;30,"Media",IF(C24&lt;=Resumen!$B$3+15,"Media","Baja"))))</f>
        <v>Sin prioridad</v>
      </c>
      <c r="T24" t="s">
        <v>73</v>
      </c>
      <c r="U24" t="s">
        <v>64</v>
      </c>
      <c r="V24" t="s">
        <v>106</v>
      </c>
      <c r="W24" s="3">
        <f t="shared" si="3"/>
        <v>45870</v>
      </c>
      <c r="X24" s="3">
        <f t="shared" si="4"/>
        <v>45901</v>
      </c>
      <c r="Y24" t="s">
        <v>66</v>
      </c>
      <c r="Z24" t="str">
        <f>IF(AND(M24&gt;0,C24&lt;Resumen!$B$3),"Sí","No")</f>
        <v>No</v>
      </c>
      <c r="AA24" t="str">
        <f t="shared" si="5"/>
        <v>No</v>
      </c>
      <c r="AB24" t="str">
        <f t="shared" si="6"/>
        <v>Sí</v>
      </c>
    </row>
    <row r="25" spans="1:28">
      <c r="A25" t="s">
        <v>127</v>
      </c>
      <c r="B25" s="3">
        <v>45882</v>
      </c>
      <c r="C25" s="3">
        <v>45927</v>
      </c>
      <c r="D25" s="3"/>
      <c r="E25" t="s">
        <v>104</v>
      </c>
      <c r="F25" t="s">
        <v>28</v>
      </c>
      <c r="G25" t="s">
        <v>59</v>
      </c>
      <c r="H25" t="s">
        <v>70</v>
      </c>
      <c r="I25" t="s">
        <v>71</v>
      </c>
      <c r="J25" t="s">
        <v>72</v>
      </c>
      <c r="K25" s="4">
        <v>521000</v>
      </c>
      <c r="L25" s="4">
        <v>0</v>
      </c>
      <c r="M25" s="4">
        <f t="shared" si="0"/>
        <v>521000</v>
      </c>
      <c r="N25" s="4">
        <v>1297</v>
      </c>
      <c r="O25" s="4">
        <f t="shared" si="1"/>
        <v>521000</v>
      </c>
      <c r="P25" s="4">
        <f t="shared" si="2"/>
        <v>521000</v>
      </c>
      <c r="Q25" t="str">
        <f>IF(M25&lt;=0,"Cobrada",IF(L25&gt;0,"Parcial",IF(C25&lt;Resumen!$B$3,"Vencida",IF(C25&lt;=Resumen!$B$3+15,"Por vencer","Pendiente"))))</f>
        <v>Vencida</v>
      </c>
      <c r="R25" s="5">
        <f>IF(M25&lt;=0,MAX(0,D25-C25),MAX(0,Resumen!$B$3-C25))</f>
        <v>277</v>
      </c>
      <c r="S25" t="str">
        <f>IF(M25&lt;=0,"Sin prioridad",IF(R25&gt;60,"Alta",IF(R25&gt;30,"Media",IF(C25&lt;=Resumen!$B$3+15,"Media","Baja"))))</f>
        <v>Alta</v>
      </c>
      <c r="T25" t="s">
        <v>83</v>
      </c>
      <c r="U25" t="s">
        <v>95</v>
      </c>
      <c r="V25" t="s">
        <v>78</v>
      </c>
      <c r="W25" s="3">
        <f t="shared" si="3"/>
        <v>45870</v>
      </c>
      <c r="X25" s="3">
        <f t="shared" si="4"/>
        <v>45901</v>
      </c>
      <c r="Y25" t="s">
        <v>66</v>
      </c>
      <c r="Z25" t="str">
        <f>IF(AND(M25&gt;0,C25&lt;Resumen!$B$3),"Sí","No")</f>
        <v>Sí</v>
      </c>
      <c r="AA25" t="str">
        <f t="shared" si="5"/>
        <v>No</v>
      </c>
      <c r="AB25" t="str">
        <f t="shared" si="6"/>
        <v>No</v>
      </c>
    </row>
    <row r="26" spans="1:28">
      <c r="A26" t="s">
        <v>128</v>
      </c>
      <c r="B26" s="3">
        <v>45910</v>
      </c>
      <c r="C26" s="3">
        <v>45955</v>
      </c>
      <c r="D26" s="3"/>
      <c r="E26" t="s">
        <v>129</v>
      </c>
      <c r="F26" t="s">
        <v>130</v>
      </c>
      <c r="G26" t="s">
        <v>59</v>
      </c>
      <c r="H26" t="s">
        <v>70</v>
      </c>
      <c r="I26" t="s">
        <v>71</v>
      </c>
      <c r="J26" t="s">
        <v>72</v>
      </c>
      <c r="K26" s="4">
        <v>817000</v>
      </c>
      <c r="L26" s="4">
        <v>0</v>
      </c>
      <c r="M26" s="4">
        <f t="shared" si="0"/>
        <v>817000</v>
      </c>
      <c r="N26" s="4">
        <v>1330</v>
      </c>
      <c r="O26" s="4">
        <f t="shared" si="1"/>
        <v>817000</v>
      </c>
      <c r="P26" s="4">
        <f t="shared" si="2"/>
        <v>817000</v>
      </c>
      <c r="Q26" t="str">
        <f>IF(M26&lt;=0,"Cobrada",IF(L26&gt;0,"Parcial",IF(C26&lt;Resumen!$B$3,"Vencida",IF(C26&lt;=Resumen!$B$3+15,"Por vencer","Pendiente"))))</f>
        <v>Vencida</v>
      </c>
      <c r="R26" s="5">
        <f>IF(M26&lt;=0,MAX(0,D26-C26),MAX(0,Resumen!$B$3-C26))</f>
        <v>249</v>
      </c>
      <c r="S26" t="str">
        <f>IF(M26&lt;=0,"Sin prioridad",IF(R26&gt;60,"Alta",IF(R26&gt;30,"Media",IF(C26&lt;=Resumen!$B$3+15,"Media","Baja"))))</f>
        <v>Alta</v>
      </c>
      <c r="T26" t="s">
        <v>83</v>
      </c>
      <c r="U26" t="s">
        <v>91</v>
      </c>
      <c r="W26" s="3">
        <f t="shared" si="3"/>
        <v>45901</v>
      </c>
      <c r="X26" s="3">
        <f t="shared" si="4"/>
        <v>45931</v>
      </c>
      <c r="Y26" t="s">
        <v>66</v>
      </c>
      <c r="Z26" t="str">
        <f>IF(AND(M26&gt;0,C26&lt;Resumen!$B$3),"Sí","No")</f>
        <v>Sí</v>
      </c>
      <c r="AA26" t="str">
        <f t="shared" si="5"/>
        <v>No</v>
      </c>
      <c r="AB26" t="str">
        <f t="shared" si="6"/>
        <v>No</v>
      </c>
    </row>
    <row r="27" spans="1:28">
      <c r="A27" t="s">
        <v>131</v>
      </c>
      <c r="B27" s="3">
        <v>45927</v>
      </c>
      <c r="C27" s="3">
        <v>45957</v>
      </c>
      <c r="D27" s="3">
        <v>45971</v>
      </c>
      <c r="E27" t="s">
        <v>132</v>
      </c>
      <c r="F27" t="s">
        <v>133</v>
      </c>
      <c r="G27" t="s">
        <v>59</v>
      </c>
      <c r="H27" t="s">
        <v>70</v>
      </c>
      <c r="I27" t="s">
        <v>71</v>
      </c>
      <c r="J27" t="s">
        <v>72</v>
      </c>
      <c r="K27" s="4">
        <v>533000</v>
      </c>
      <c r="L27" s="4">
        <v>533000</v>
      </c>
      <c r="M27" s="4">
        <f t="shared" si="0"/>
        <v>0</v>
      </c>
      <c r="N27" s="4">
        <v>1330</v>
      </c>
      <c r="O27" s="4">
        <f t="shared" si="1"/>
        <v>533000</v>
      </c>
      <c r="P27" s="4">
        <f t="shared" si="2"/>
        <v>0</v>
      </c>
      <c r="Q27" t="str">
        <f>IF(M27&lt;=0,"Cobrada",IF(L27&gt;0,"Parcial",IF(C27&lt;Resumen!$B$3,"Vencida",IF(C27&lt;=Resumen!$B$3+15,"Por vencer","Pendiente"))))</f>
        <v>Cobrada</v>
      </c>
      <c r="R27" s="5">
        <f>IF(M27&lt;=0,MAX(0,D27-C27),MAX(0,Resumen!$B$3-C27))</f>
        <v>14</v>
      </c>
      <c r="S27" t="str">
        <f>IF(M27&lt;=0,"Sin prioridad",IF(R27&gt;60,"Alta",IF(R27&gt;30,"Media",IF(C27&lt;=Resumen!$B$3+15,"Media","Baja"))))</f>
        <v>Sin prioridad</v>
      </c>
      <c r="T27" t="s">
        <v>73</v>
      </c>
      <c r="U27" t="s">
        <v>64</v>
      </c>
      <c r="V27" t="s">
        <v>80</v>
      </c>
      <c r="W27" s="3">
        <f t="shared" si="3"/>
        <v>45901</v>
      </c>
      <c r="X27" s="3">
        <f t="shared" si="4"/>
        <v>45931</v>
      </c>
      <c r="Y27" t="s">
        <v>66</v>
      </c>
      <c r="Z27" t="str">
        <f>IF(AND(M27&gt;0,C27&lt;Resumen!$B$3),"Sí","No")</f>
        <v>No</v>
      </c>
      <c r="AA27" t="str">
        <f t="shared" si="5"/>
        <v>No</v>
      </c>
      <c r="AB27" t="str">
        <f t="shared" si="6"/>
        <v>No</v>
      </c>
    </row>
    <row r="28" spans="1:28">
      <c r="A28" t="s">
        <v>134</v>
      </c>
      <c r="B28" s="3">
        <v>45909</v>
      </c>
      <c r="C28" s="3">
        <v>45954</v>
      </c>
      <c r="D28" s="3">
        <v>45990</v>
      </c>
      <c r="E28" t="s">
        <v>104</v>
      </c>
      <c r="F28" t="s">
        <v>28</v>
      </c>
      <c r="G28" t="s">
        <v>59</v>
      </c>
      <c r="H28" t="s">
        <v>70</v>
      </c>
      <c r="I28" t="s">
        <v>71</v>
      </c>
      <c r="J28" t="s">
        <v>72</v>
      </c>
      <c r="K28" s="4">
        <v>808000</v>
      </c>
      <c r="L28" s="4">
        <v>808000</v>
      </c>
      <c r="M28" s="4">
        <f t="shared" si="0"/>
        <v>0</v>
      </c>
      <c r="N28" s="4">
        <v>1330</v>
      </c>
      <c r="O28" s="4">
        <f t="shared" si="1"/>
        <v>808000</v>
      </c>
      <c r="P28" s="4">
        <f t="shared" si="2"/>
        <v>0</v>
      </c>
      <c r="Q28" t="str">
        <f>IF(M28&lt;=0,"Cobrada",IF(L28&gt;0,"Parcial",IF(C28&lt;Resumen!$B$3,"Vencida",IF(C28&lt;=Resumen!$B$3+15,"Por vencer","Pendiente"))))</f>
        <v>Cobrada</v>
      </c>
      <c r="R28" s="5">
        <f>IF(M28&lt;=0,MAX(0,D28-C28),MAX(0,Resumen!$B$3-C28))</f>
        <v>36</v>
      </c>
      <c r="S28" t="str">
        <f>IF(M28&lt;=0,"Sin prioridad",IF(R28&gt;60,"Alta",IF(R28&gt;30,"Media",IF(C28&lt;=Resumen!$B$3+15,"Media","Baja"))))</f>
        <v>Sin prioridad</v>
      </c>
      <c r="T28" t="s">
        <v>83</v>
      </c>
      <c r="U28" t="s">
        <v>64</v>
      </c>
      <c r="V28" t="s">
        <v>78</v>
      </c>
      <c r="W28" s="3">
        <f t="shared" si="3"/>
        <v>45901</v>
      </c>
      <c r="X28" s="3">
        <f t="shared" si="4"/>
        <v>45931</v>
      </c>
      <c r="Y28" t="s">
        <v>66</v>
      </c>
      <c r="Z28" t="str">
        <f>IF(AND(M28&gt;0,C28&lt;Resumen!$B$3),"Sí","No")</f>
        <v>No</v>
      </c>
      <c r="AA28" t="str">
        <f t="shared" si="5"/>
        <v>No</v>
      </c>
      <c r="AB28" t="str">
        <f t="shared" si="6"/>
        <v>No</v>
      </c>
    </row>
    <row r="29" spans="1:28">
      <c r="A29" t="s">
        <v>135</v>
      </c>
      <c r="B29" s="3">
        <v>45921</v>
      </c>
      <c r="C29" s="3">
        <v>45936</v>
      </c>
      <c r="D29" s="3">
        <v>45949</v>
      </c>
      <c r="E29" t="s">
        <v>68</v>
      </c>
      <c r="F29" t="s">
        <v>69</v>
      </c>
      <c r="G29" t="s">
        <v>59</v>
      </c>
      <c r="H29" t="s">
        <v>70</v>
      </c>
      <c r="I29" t="s">
        <v>71</v>
      </c>
      <c r="J29" t="s">
        <v>72</v>
      </c>
      <c r="K29" s="4">
        <v>690000</v>
      </c>
      <c r="L29" s="4">
        <v>690000</v>
      </c>
      <c r="M29" s="4">
        <f t="shared" si="0"/>
        <v>0</v>
      </c>
      <c r="N29" s="4">
        <v>1330</v>
      </c>
      <c r="O29" s="4">
        <f t="shared" si="1"/>
        <v>690000</v>
      </c>
      <c r="P29" s="4">
        <f t="shared" si="2"/>
        <v>0</v>
      </c>
      <c r="Q29" t="str">
        <f>IF(M29&lt;=0,"Cobrada",IF(L29&gt;0,"Parcial",IF(C29&lt;Resumen!$B$3,"Vencida",IF(C29&lt;=Resumen!$B$3+15,"Por vencer","Pendiente"))))</f>
        <v>Cobrada</v>
      </c>
      <c r="R29" s="5">
        <f>IF(M29&lt;=0,MAX(0,D29-C29),MAX(0,Resumen!$B$3-C29))</f>
        <v>13</v>
      </c>
      <c r="S29" t="str">
        <f>IF(M29&lt;=0,"Sin prioridad",IF(R29&gt;60,"Alta",IF(R29&gt;30,"Media",IF(C29&lt;=Resumen!$B$3+15,"Media","Baja"))))</f>
        <v>Sin prioridad</v>
      </c>
      <c r="T29" t="s">
        <v>73</v>
      </c>
      <c r="U29" t="s">
        <v>64</v>
      </c>
      <c r="V29" t="s">
        <v>65</v>
      </c>
      <c r="W29" s="3">
        <f t="shared" si="3"/>
        <v>45901</v>
      </c>
      <c r="X29" s="3">
        <f t="shared" si="4"/>
        <v>45931</v>
      </c>
      <c r="Y29" t="s">
        <v>66</v>
      </c>
      <c r="Z29" t="str">
        <f>IF(AND(M29&gt;0,C29&lt;Resumen!$B$3),"Sí","No")</f>
        <v>No</v>
      </c>
      <c r="AA29" t="str">
        <f t="shared" si="5"/>
        <v>No</v>
      </c>
      <c r="AB29" t="str">
        <f t="shared" si="6"/>
        <v>No</v>
      </c>
    </row>
    <row r="30" spans="1:28">
      <c r="A30" t="s">
        <v>136</v>
      </c>
      <c r="B30" s="3">
        <v>45906</v>
      </c>
      <c r="C30" s="3">
        <v>45936</v>
      </c>
      <c r="D30" s="3">
        <v>45959</v>
      </c>
      <c r="E30" t="s">
        <v>132</v>
      </c>
      <c r="F30" t="s">
        <v>133</v>
      </c>
      <c r="G30" t="s">
        <v>59</v>
      </c>
      <c r="H30" t="s">
        <v>70</v>
      </c>
      <c r="I30" t="s">
        <v>71</v>
      </c>
      <c r="J30" t="s">
        <v>72</v>
      </c>
      <c r="K30" s="4">
        <v>942000</v>
      </c>
      <c r="L30" s="4">
        <v>268010.92</v>
      </c>
      <c r="M30" s="4">
        <f t="shared" si="0"/>
        <v>673989.08000000007</v>
      </c>
      <c r="N30" s="4">
        <v>1330</v>
      </c>
      <c r="O30" s="4">
        <f t="shared" si="1"/>
        <v>942000</v>
      </c>
      <c r="P30" s="4">
        <f t="shared" si="2"/>
        <v>673989.08000000007</v>
      </c>
      <c r="Q30" t="str">
        <f>IF(M30&lt;=0,"Cobrada",IF(L30&gt;0,"Parcial",IF(C30&lt;Resumen!$B$3,"Vencida",IF(C30&lt;=Resumen!$B$3+15,"Por vencer","Pendiente"))))</f>
        <v>Parcial</v>
      </c>
      <c r="R30" s="5">
        <f>IF(M30&lt;=0,MAX(0,D30-C30),MAX(0,Resumen!$B$3-C30))</f>
        <v>268</v>
      </c>
      <c r="S30" t="str">
        <f>IF(M30&lt;=0,"Sin prioridad",IF(R30&gt;60,"Alta",IF(R30&gt;30,"Media",IF(C30&lt;=Resumen!$B$3+15,"Media","Baja"))))</f>
        <v>Alta</v>
      </c>
      <c r="T30" t="s">
        <v>73</v>
      </c>
      <c r="U30" t="s">
        <v>105</v>
      </c>
      <c r="V30" t="s">
        <v>74</v>
      </c>
      <c r="W30" s="3">
        <f t="shared" si="3"/>
        <v>45901</v>
      </c>
      <c r="X30" s="3">
        <f t="shared" si="4"/>
        <v>45931</v>
      </c>
      <c r="Y30" t="s">
        <v>66</v>
      </c>
      <c r="Z30" t="str">
        <f>IF(AND(M30&gt;0,C30&lt;Resumen!$B$3),"Sí","No")</f>
        <v>Sí</v>
      </c>
      <c r="AA30" t="str">
        <f t="shared" si="5"/>
        <v>Sí</v>
      </c>
      <c r="AB30" t="str">
        <f t="shared" si="6"/>
        <v>No</v>
      </c>
    </row>
    <row r="31" spans="1:28">
      <c r="A31" t="s">
        <v>137</v>
      </c>
      <c r="B31" s="3">
        <v>45923</v>
      </c>
      <c r="C31" s="3">
        <v>45968</v>
      </c>
      <c r="D31" s="3">
        <v>45974</v>
      </c>
      <c r="E31" t="s">
        <v>129</v>
      </c>
      <c r="F31" t="s">
        <v>130</v>
      </c>
      <c r="G31" t="s">
        <v>59</v>
      </c>
      <c r="H31" t="s">
        <v>70</v>
      </c>
      <c r="I31" t="s">
        <v>71</v>
      </c>
      <c r="J31" t="s">
        <v>62</v>
      </c>
      <c r="K31" s="4">
        <v>700</v>
      </c>
      <c r="L31" s="4">
        <v>700</v>
      </c>
      <c r="M31" s="4">
        <f t="shared" si="0"/>
        <v>0</v>
      </c>
      <c r="N31" s="4">
        <v>1330</v>
      </c>
      <c r="O31" s="4">
        <f t="shared" si="1"/>
        <v>931000</v>
      </c>
      <c r="P31" s="4">
        <f t="shared" si="2"/>
        <v>0</v>
      </c>
      <c r="Q31" t="str">
        <f>IF(M31&lt;=0,"Cobrada",IF(L31&gt;0,"Parcial",IF(C31&lt;Resumen!$B$3,"Vencida",IF(C31&lt;=Resumen!$B$3+15,"Por vencer","Pendiente"))))</f>
        <v>Cobrada</v>
      </c>
      <c r="R31" s="5">
        <f>IF(M31&lt;=0,MAX(0,D31-C31),MAX(0,Resumen!$B$3-C31))</f>
        <v>6</v>
      </c>
      <c r="S31" t="str">
        <f>IF(M31&lt;=0,"Sin prioridad",IF(R31&gt;60,"Alta",IF(R31&gt;30,"Media",IF(C31&lt;=Resumen!$B$3+15,"Media","Baja"))))</f>
        <v>Sin prioridad</v>
      </c>
      <c r="T31" t="s">
        <v>83</v>
      </c>
      <c r="U31" t="s">
        <v>64</v>
      </c>
      <c r="V31" t="s">
        <v>106</v>
      </c>
      <c r="W31" s="3">
        <f t="shared" si="3"/>
        <v>45901</v>
      </c>
      <c r="X31" s="3">
        <f t="shared" si="4"/>
        <v>45962</v>
      </c>
      <c r="Y31" t="s">
        <v>66</v>
      </c>
      <c r="Z31" t="str">
        <f>IF(AND(M31&gt;0,C31&lt;Resumen!$B$3),"Sí","No")</f>
        <v>No</v>
      </c>
      <c r="AA31" t="str">
        <f t="shared" si="5"/>
        <v>No</v>
      </c>
      <c r="AB31" t="str">
        <f t="shared" si="6"/>
        <v>Sí</v>
      </c>
    </row>
    <row r="32" spans="1:28">
      <c r="A32" t="s">
        <v>138</v>
      </c>
      <c r="B32" s="3">
        <v>45903</v>
      </c>
      <c r="C32" s="3">
        <v>45918</v>
      </c>
      <c r="D32" s="3">
        <v>45934</v>
      </c>
      <c r="E32" t="s">
        <v>58</v>
      </c>
      <c r="F32" t="s">
        <v>10</v>
      </c>
      <c r="G32" t="s">
        <v>59</v>
      </c>
      <c r="H32" t="s">
        <v>70</v>
      </c>
      <c r="I32" t="s">
        <v>71</v>
      </c>
      <c r="J32" t="s">
        <v>72</v>
      </c>
      <c r="K32" s="4">
        <v>405000</v>
      </c>
      <c r="L32" s="4">
        <v>405000</v>
      </c>
      <c r="M32" s="4">
        <f t="shared" si="0"/>
        <v>0</v>
      </c>
      <c r="N32" s="4">
        <v>1330</v>
      </c>
      <c r="O32" s="4">
        <f t="shared" si="1"/>
        <v>405000</v>
      </c>
      <c r="P32" s="4">
        <f t="shared" si="2"/>
        <v>0</v>
      </c>
      <c r="Q32" t="str">
        <f>IF(M32&lt;=0,"Cobrada",IF(L32&gt;0,"Parcial",IF(C32&lt;Resumen!$B$3,"Vencida",IF(C32&lt;=Resumen!$B$3+15,"Por vencer","Pendiente"))))</f>
        <v>Cobrada</v>
      </c>
      <c r="R32" s="5">
        <f>IF(M32&lt;=0,MAX(0,D32-C32),MAX(0,Resumen!$B$3-C32))</f>
        <v>16</v>
      </c>
      <c r="S32" t="str">
        <f>IF(M32&lt;=0,"Sin prioridad",IF(R32&gt;60,"Alta",IF(R32&gt;30,"Media",IF(C32&lt;=Resumen!$B$3+15,"Media","Baja"))))</f>
        <v>Sin prioridad</v>
      </c>
      <c r="T32" t="s">
        <v>63</v>
      </c>
      <c r="U32" t="s">
        <v>64</v>
      </c>
      <c r="V32" t="s">
        <v>65</v>
      </c>
      <c r="W32" s="3">
        <f t="shared" si="3"/>
        <v>45901</v>
      </c>
      <c r="X32" s="3">
        <f t="shared" si="4"/>
        <v>45901</v>
      </c>
      <c r="Y32" t="s">
        <v>66</v>
      </c>
      <c r="Z32" t="str">
        <f>IF(AND(M32&gt;0,C32&lt;Resumen!$B$3),"Sí","No")</f>
        <v>No</v>
      </c>
      <c r="AA32" t="str">
        <f t="shared" si="5"/>
        <v>No</v>
      </c>
      <c r="AB32" t="str">
        <f t="shared" si="6"/>
        <v>No</v>
      </c>
    </row>
    <row r="33" spans="1:28">
      <c r="A33" t="s">
        <v>139</v>
      </c>
      <c r="B33" s="3">
        <v>45916</v>
      </c>
      <c r="C33" s="3">
        <v>45931</v>
      </c>
      <c r="D33" s="3">
        <v>45931</v>
      </c>
      <c r="E33" t="s">
        <v>76</v>
      </c>
      <c r="F33" t="s">
        <v>77</v>
      </c>
      <c r="G33" t="s">
        <v>59</v>
      </c>
      <c r="H33" t="s">
        <v>140</v>
      </c>
      <c r="I33" t="s">
        <v>141</v>
      </c>
      <c r="J33" t="s">
        <v>72</v>
      </c>
      <c r="K33" s="4">
        <v>916000</v>
      </c>
      <c r="L33" s="4">
        <v>916000</v>
      </c>
      <c r="M33" s="4">
        <f t="shared" si="0"/>
        <v>0</v>
      </c>
      <c r="N33" s="4">
        <v>1330</v>
      </c>
      <c r="O33" s="4">
        <f t="shared" si="1"/>
        <v>916000</v>
      </c>
      <c r="P33" s="4">
        <f t="shared" si="2"/>
        <v>0</v>
      </c>
      <c r="Q33" t="str">
        <f>IF(M33&lt;=0,"Cobrada",IF(L33&gt;0,"Parcial",IF(C33&lt;Resumen!$B$3,"Vencida",IF(C33&lt;=Resumen!$B$3+15,"Por vencer","Pendiente"))))</f>
        <v>Cobrada</v>
      </c>
      <c r="R33" s="5">
        <f>IF(M33&lt;=0,MAX(0,D33-C33),MAX(0,Resumen!$B$3-C33))</f>
        <v>0</v>
      </c>
      <c r="S33" t="str">
        <f>IF(M33&lt;=0,"Sin prioridad",IF(R33&gt;60,"Alta",IF(R33&gt;30,"Media",IF(C33&lt;=Resumen!$B$3+15,"Media","Baja"))))</f>
        <v>Sin prioridad</v>
      </c>
      <c r="T33" t="s">
        <v>73</v>
      </c>
      <c r="U33" t="s">
        <v>64</v>
      </c>
      <c r="V33" t="s">
        <v>74</v>
      </c>
      <c r="W33" s="3">
        <f t="shared" si="3"/>
        <v>45901</v>
      </c>
      <c r="X33" s="3">
        <f t="shared" si="4"/>
        <v>45931</v>
      </c>
      <c r="Y33" t="s">
        <v>66</v>
      </c>
      <c r="Z33" t="str">
        <f>IF(AND(M33&gt;0,C33&lt;Resumen!$B$3),"Sí","No")</f>
        <v>No</v>
      </c>
      <c r="AA33" t="str">
        <f t="shared" si="5"/>
        <v>No</v>
      </c>
      <c r="AB33" t="str">
        <f t="shared" si="6"/>
        <v>No</v>
      </c>
    </row>
    <row r="34" spans="1:28">
      <c r="A34" t="s">
        <v>142</v>
      </c>
      <c r="B34" s="3">
        <v>45902</v>
      </c>
      <c r="C34" s="3">
        <v>45947</v>
      </c>
      <c r="D34" s="3">
        <v>45950</v>
      </c>
      <c r="E34" t="s">
        <v>143</v>
      </c>
      <c r="F34" t="s">
        <v>144</v>
      </c>
      <c r="G34" t="s">
        <v>59</v>
      </c>
      <c r="H34" t="s">
        <v>60</v>
      </c>
      <c r="I34" t="s">
        <v>61</v>
      </c>
      <c r="J34" t="s">
        <v>62</v>
      </c>
      <c r="K34" s="4">
        <v>250</v>
      </c>
      <c r="L34" s="4">
        <v>250</v>
      </c>
      <c r="M34" s="4">
        <f t="shared" si="0"/>
        <v>0</v>
      </c>
      <c r="N34" s="4">
        <v>1330</v>
      </c>
      <c r="O34" s="4">
        <f t="shared" si="1"/>
        <v>332500</v>
      </c>
      <c r="P34" s="4">
        <f t="shared" si="2"/>
        <v>0</v>
      </c>
      <c r="Q34" t="str">
        <f>IF(M34&lt;=0,"Cobrada",IF(L34&gt;0,"Parcial",IF(C34&lt;Resumen!$B$3,"Vencida",IF(C34&lt;=Resumen!$B$3+15,"Por vencer","Pendiente"))))</f>
        <v>Cobrada</v>
      </c>
      <c r="R34" s="5">
        <f>IF(M34&lt;=0,MAX(0,D34-C34),MAX(0,Resumen!$B$3-C34))</f>
        <v>3</v>
      </c>
      <c r="S34" t="str">
        <f>IF(M34&lt;=0,"Sin prioridad",IF(R34&gt;60,"Alta",IF(R34&gt;30,"Media",IF(C34&lt;=Resumen!$B$3+15,"Media","Baja"))))</f>
        <v>Sin prioridad</v>
      </c>
      <c r="T34" t="s">
        <v>87</v>
      </c>
      <c r="U34" t="s">
        <v>64</v>
      </c>
      <c r="V34" t="s">
        <v>65</v>
      </c>
      <c r="W34" s="3">
        <f t="shared" si="3"/>
        <v>45901</v>
      </c>
      <c r="X34" s="3">
        <f t="shared" si="4"/>
        <v>45931</v>
      </c>
      <c r="Y34" t="s">
        <v>66</v>
      </c>
      <c r="Z34" t="str">
        <f>IF(AND(M34&gt;0,C34&lt;Resumen!$B$3),"Sí","No")</f>
        <v>No</v>
      </c>
      <c r="AA34" t="str">
        <f t="shared" si="5"/>
        <v>No</v>
      </c>
      <c r="AB34" t="str">
        <f t="shared" si="6"/>
        <v>Sí</v>
      </c>
    </row>
    <row r="35" spans="1:28">
      <c r="A35" t="s">
        <v>145</v>
      </c>
      <c r="B35" s="3">
        <v>45919</v>
      </c>
      <c r="C35" s="3">
        <v>45949</v>
      </c>
      <c r="D35" s="3">
        <v>45986</v>
      </c>
      <c r="E35" t="s">
        <v>90</v>
      </c>
      <c r="F35" t="s">
        <v>12</v>
      </c>
      <c r="G35" t="s">
        <v>59</v>
      </c>
      <c r="H35" t="s">
        <v>113</v>
      </c>
      <c r="I35" t="s">
        <v>114</v>
      </c>
      <c r="J35" t="s">
        <v>62</v>
      </c>
      <c r="K35" s="4">
        <v>1750</v>
      </c>
      <c r="L35" s="4">
        <v>1750</v>
      </c>
      <c r="M35" s="4">
        <f t="shared" si="0"/>
        <v>0</v>
      </c>
      <c r="N35" s="4">
        <v>1330</v>
      </c>
      <c r="O35" s="4">
        <f t="shared" si="1"/>
        <v>2327500</v>
      </c>
      <c r="P35" s="4">
        <f t="shared" si="2"/>
        <v>0</v>
      </c>
      <c r="Q35" t="str">
        <f>IF(M35&lt;=0,"Cobrada",IF(L35&gt;0,"Parcial",IF(C35&lt;Resumen!$B$3,"Vencida",IF(C35&lt;=Resumen!$B$3+15,"Por vencer","Pendiente"))))</f>
        <v>Cobrada</v>
      </c>
      <c r="R35" s="5">
        <f>IF(M35&lt;=0,MAX(0,D35-C35),MAX(0,Resumen!$B$3-C35))</f>
        <v>37</v>
      </c>
      <c r="S35" t="str">
        <f>IF(M35&lt;=0,"Sin prioridad",IF(R35&gt;60,"Alta",IF(R35&gt;30,"Media",IF(C35&lt;=Resumen!$B$3+15,"Media","Baja"))))</f>
        <v>Sin prioridad</v>
      </c>
      <c r="T35" t="s">
        <v>63</v>
      </c>
      <c r="U35" t="s">
        <v>64</v>
      </c>
      <c r="V35" t="s">
        <v>65</v>
      </c>
      <c r="W35" s="3">
        <f t="shared" si="3"/>
        <v>45901</v>
      </c>
      <c r="X35" s="3">
        <f t="shared" si="4"/>
        <v>45931</v>
      </c>
      <c r="Y35" t="s">
        <v>66</v>
      </c>
      <c r="Z35" t="str">
        <f>IF(AND(M35&gt;0,C35&lt;Resumen!$B$3),"Sí","No")</f>
        <v>No</v>
      </c>
      <c r="AA35" t="str">
        <f t="shared" si="5"/>
        <v>No</v>
      </c>
      <c r="AB35" t="str">
        <f t="shared" si="6"/>
        <v>Sí</v>
      </c>
    </row>
    <row r="36" spans="1:28">
      <c r="A36" t="s">
        <v>146</v>
      </c>
      <c r="B36" s="3">
        <v>45907</v>
      </c>
      <c r="C36" s="3">
        <v>45922</v>
      </c>
      <c r="D36" s="3">
        <v>45949</v>
      </c>
      <c r="E36" t="s">
        <v>58</v>
      </c>
      <c r="F36" t="s">
        <v>10</v>
      </c>
      <c r="G36" t="s">
        <v>59</v>
      </c>
      <c r="H36" t="s">
        <v>113</v>
      </c>
      <c r="I36" t="s">
        <v>114</v>
      </c>
      <c r="J36" t="s">
        <v>62</v>
      </c>
      <c r="K36" s="4">
        <v>1700</v>
      </c>
      <c r="L36" s="4">
        <v>1700</v>
      </c>
      <c r="M36" s="4">
        <f t="shared" si="0"/>
        <v>0</v>
      </c>
      <c r="N36" s="4">
        <v>1330</v>
      </c>
      <c r="O36" s="4">
        <f t="shared" si="1"/>
        <v>2261000</v>
      </c>
      <c r="P36" s="4">
        <f t="shared" si="2"/>
        <v>0</v>
      </c>
      <c r="Q36" t="str">
        <f>IF(M36&lt;=0,"Cobrada",IF(L36&gt;0,"Parcial",IF(C36&lt;Resumen!$B$3,"Vencida",IF(C36&lt;=Resumen!$B$3+15,"Por vencer","Pendiente"))))</f>
        <v>Cobrada</v>
      </c>
      <c r="R36" s="5">
        <f>IF(M36&lt;=0,MAX(0,D36-C36),MAX(0,Resumen!$B$3-C36))</f>
        <v>27</v>
      </c>
      <c r="S36" t="str">
        <f>IF(M36&lt;=0,"Sin prioridad",IF(R36&gt;60,"Alta",IF(R36&gt;30,"Media",IF(C36&lt;=Resumen!$B$3+15,"Media","Baja"))))</f>
        <v>Sin prioridad</v>
      </c>
      <c r="T36" t="s">
        <v>63</v>
      </c>
      <c r="U36" t="s">
        <v>64</v>
      </c>
      <c r="V36" t="s">
        <v>106</v>
      </c>
      <c r="W36" s="3">
        <f t="shared" si="3"/>
        <v>45901</v>
      </c>
      <c r="X36" s="3">
        <f t="shared" si="4"/>
        <v>45901</v>
      </c>
      <c r="Y36" t="s">
        <v>66</v>
      </c>
      <c r="Z36" t="str">
        <f>IF(AND(M36&gt;0,C36&lt;Resumen!$B$3),"Sí","No")</f>
        <v>No</v>
      </c>
      <c r="AA36" t="str">
        <f t="shared" si="5"/>
        <v>No</v>
      </c>
      <c r="AB36" t="str">
        <f t="shared" si="6"/>
        <v>Sí</v>
      </c>
    </row>
    <row r="37" spans="1:28">
      <c r="A37" t="s">
        <v>147</v>
      </c>
      <c r="B37" s="3">
        <v>45909</v>
      </c>
      <c r="C37" s="3">
        <v>45954</v>
      </c>
      <c r="D37" s="3">
        <v>45967</v>
      </c>
      <c r="E37" t="s">
        <v>82</v>
      </c>
      <c r="F37" t="s">
        <v>15</v>
      </c>
      <c r="G37" t="s">
        <v>59</v>
      </c>
      <c r="H37" t="s">
        <v>70</v>
      </c>
      <c r="I37" t="s">
        <v>71</v>
      </c>
      <c r="J37" t="s">
        <v>72</v>
      </c>
      <c r="K37" s="4">
        <v>912000</v>
      </c>
      <c r="L37" s="4">
        <v>912000</v>
      </c>
      <c r="M37" s="4">
        <f t="shared" si="0"/>
        <v>0</v>
      </c>
      <c r="N37" s="4">
        <v>1330</v>
      </c>
      <c r="O37" s="4">
        <f t="shared" si="1"/>
        <v>912000</v>
      </c>
      <c r="P37" s="4">
        <f t="shared" si="2"/>
        <v>0</v>
      </c>
      <c r="Q37" t="str">
        <f>IF(M37&lt;=0,"Cobrada",IF(L37&gt;0,"Parcial",IF(C37&lt;Resumen!$B$3,"Vencida",IF(C37&lt;=Resumen!$B$3+15,"Por vencer","Pendiente"))))</f>
        <v>Cobrada</v>
      </c>
      <c r="R37" s="5">
        <f>IF(M37&lt;=0,MAX(0,D37-C37),MAX(0,Resumen!$B$3-C37))</f>
        <v>13</v>
      </c>
      <c r="S37" t="str">
        <f>IF(M37&lt;=0,"Sin prioridad",IF(R37&gt;60,"Alta",IF(R37&gt;30,"Media",IF(C37&lt;=Resumen!$B$3+15,"Media","Baja"))))</f>
        <v>Sin prioridad</v>
      </c>
      <c r="T37" t="s">
        <v>83</v>
      </c>
      <c r="U37" t="s">
        <v>64</v>
      </c>
      <c r="V37" t="s">
        <v>74</v>
      </c>
      <c r="W37" s="3">
        <f t="shared" si="3"/>
        <v>45901</v>
      </c>
      <c r="X37" s="3">
        <f t="shared" si="4"/>
        <v>45931</v>
      </c>
      <c r="Y37" t="s">
        <v>66</v>
      </c>
      <c r="Z37" t="str">
        <f>IF(AND(M37&gt;0,C37&lt;Resumen!$B$3),"Sí","No")</f>
        <v>No</v>
      </c>
      <c r="AA37" t="str">
        <f t="shared" si="5"/>
        <v>No</v>
      </c>
      <c r="AB37" t="str">
        <f t="shared" si="6"/>
        <v>No</v>
      </c>
    </row>
    <row r="38" spans="1:28">
      <c r="A38" t="s">
        <v>148</v>
      </c>
      <c r="B38" s="3">
        <v>45907</v>
      </c>
      <c r="C38" s="3">
        <v>45952</v>
      </c>
      <c r="D38" s="3">
        <v>45953</v>
      </c>
      <c r="E38" t="s">
        <v>143</v>
      </c>
      <c r="F38" t="s">
        <v>144</v>
      </c>
      <c r="G38" t="s">
        <v>59</v>
      </c>
      <c r="H38" t="s">
        <v>70</v>
      </c>
      <c r="I38" t="s">
        <v>71</v>
      </c>
      <c r="J38" t="s">
        <v>72</v>
      </c>
      <c r="K38" s="4">
        <v>821000</v>
      </c>
      <c r="L38" s="4">
        <v>821000</v>
      </c>
      <c r="M38" s="4">
        <f t="shared" si="0"/>
        <v>0</v>
      </c>
      <c r="N38" s="4">
        <v>1330</v>
      </c>
      <c r="O38" s="4">
        <f t="shared" si="1"/>
        <v>821000</v>
      </c>
      <c r="P38" s="4">
        <f t="shared" si="2"/>
        <v>0</v>
      </c>
      <c r="Q38" t="str">
        <f>IF(M38&lt;=0,"Cobrada",IF(L38&gt;0,"Parcial",IF(C38&lt;Resumen!$B$3,"Vencida",IF(C38&lt;=Resumen!$B$3+15,"Por vencer","Pendiente"))))</f>
        <v>Cobrada</v>
      </c>
      <c r="R38" s="5">
        <f>IF(M38&lt;=0,MAX(0,D38-C38),MAX(0,Resumen!$B$3-C38))</f>
        <v>1</v>
      </c>
      <c r="S38" t="str">
        <f>IF(M38&lt;=0,"Sin prioridad",IF(R38&gt;60,"Alta",IF(R38&gt;30,"Media",IF(C38&lt;=Resumen!$B$3+15,"Media","Baja"))))</f>
        <v>Sin prioridad</v>
      </c>
      <c r="T38" t="s">
        <v>87</v>
      </c>
      <c r="U38" t="s">
        <v>64</v>
      </c>
      <c r="V38" t="s">
        <v>106</v>
      </c>
      <c r="W38" s="3">
        <f t="shared" si="3"/>
        <v>45901</v>
      </c>
      <c r="X38" s="3">
        <f t="shared" si="4"/>
        <v>45931</v>
      </c>
      <c r="Y38" t="s">
        <v>66</v>
      </c>
      <c r="Z38" t="str">
        <f>IF(AND(M38&gt;0,C38&lt;Resumen!$B$3),"Sí","No")</f>
        <v>No</v>
      </c>
      <c r="AA38" t="str">
        <f t="shared" si="5"/>
        <v>No</v>
      </c>
      <c r="AB38" t="str">
        <f t="shared" si="6"/>
        <v>No</v>
      </c>
    </row>
    <row r="39" spans="1:28">
      <c r="A39" t="s">
        <v>149</v>
      </c>
      <c r="B39" s="3">
        <v>45911</v>
      </c>
      <c r="C39" s="3">
        <v>45956</v>
      </c>
      <c r="D39" s="3"/>
      <c r="E39" t="s">
        <v>82</v>
      </c>
      <c r="F39" t="s">
        <v>15</v>
      </c>
      <c r="G39" t="s">
        <v>59</v>
      </c>
      <c r="H39" t="s">
        <v>140</v>
      </c>
      <c r="I39" t="s">
        <v>141</v>
      </c>
      <c r="J39" t="s">
        <v>62</v>
      </c>
      <c r="K39" s="4">
        <v>1300</v>
      </c>
      <c r="L39" s="4">
        <v>0</v>
      </c>
      <c r="M39" s="4">
        <f t="shared" si="0"/>
        <v>1300</v>
      </c>
      <c r="N39" s="4">
        <v>1330</v>
      </c>
      <c r="O39" s="4">
        <f t="shared" si="1"/>
        <v>1729000</v>
      </c>
      <c r="P39" s="4">
        <f t="shared" si="2"/>
        <v>1729000</v>
      </c>
      <c r="Q39" t="str">
        <f>IF(M39&lt;=0,"Cobrada",IF(L39&gt;0,"Parcial",IF(C39&lt;Resumen!$B$3,"Vencida",IF(C39&lt;=Resumen!$B$3+15,"Por vencer","Pendiente"))))</f>
        <v>Vencida</v>
      </c>
      <c r="R39" s="5">
        <f>IF(M39&lt;=0,MAX(0,D39-C39),MAX(0,Resumen!$B$3-C39))</f>
        <v>248</v>
      </c>
      <c r="S39" t="str">
        <f>IF(M39&lt;=0,"Sin prioridad",IF(R39&gt;60,"Alta",IF(R39&gt;30,"Media",IF(C39&lt;=Resumen!$B$3+15,"Media","Baja"))))</f>
        <v>Alta</v>
      </c>
      <c r="T39" t="s">
        <v>83</v>
      </c>
      <c r="U39" t="s">
        <v>91</v>
      </c>
      <c r="V39" t="s">
        <v>80</v>
      </c>
      <c r="W39" s="3">
        <f t="shared" si="3"/>
        <v>45901</v>
      </c>
      <c r="X39" s="3">
        <f t="shared" si="4"/>
        <v>45931</v>
      </c>
      <c r="Y39" t="s">
        <v>66</v>
      </c>
      <c r="Z39" t="str">
        <f>IF(AND(M39&gt;0,C39&lt;Resumen!$B$3),"Sí","No")</f>
        <v>Sí</v>
      </c>
      <c r="AA39" t="str">
        <f t="shared" si="5"/>
        <v>No</v>
      </c>
      <c r="AB39" t="str">
        <f t="shared" si="6"/>
        <v>Sí</v>
      </c>
    </row>
    <row r="40" spans="1:28">
      <c r="A40" t="s">
        <v>150</v>
      </c>
      <c r="B40" s="3">
        <v>45927</v>
      </c>
      <c r="C40" s="3">
        <v>45957</v>
      </c>
      <c r="D40" s="3"/>
      <c r="E40" t="s">
        <v>132</v>
      </c>
      <c r="F40" t="s">
        <v>133</v>
      </c>
      <c r="G40" t="s">
        <v>59</v>
      </c>
      <c r="H40" t="s">
        <v>60</v>
      </c>
      <c r="I40" t="s">
        <v>61</v>
      </c>
      <c r="J40" t="s">
        <v>62</v>
      </c>
      <c r="K40" s="4">
        <v>750</v>
      </c>
      <c r="L40" s="4">
        <v>0</v>
      </c>
      <c r="M40" s="4">
        <f t="shared" si="0"/>
        <v>750</v>
      </c>
      <c r="N40" s="4">
        <v>1330</v>
      </c>
      <c r="O40" s="4">
        <f t="shared" si="1"/>
        <v>997500</v>
      </c>
      <c r="P40" s="4">
        <f t="shared" si="2"/>
        <v>997500</v>
      </c>
      <c r="Q40" t="str">
        <f>IF(M40&lt;=0,"Cobrada",IF(L40&gt;0,"Parcial",IF(C40&lt;Resumen!$B$3,"Vencida",IF(C40&lt;=Resumen!$B$3+15,"Por vencer","Pendiente"))))</f>
        <v>Vencida</v>
      </c>
      <c r="R40" s="5">
        <f>IF(M40&lt;=0,MAX(0,D40-C40),MAX(0,Resumen!$B$3-C40))</f>
        <v>247</v>
      </c>
      <c r="S40" t="str">
        <f>IF(M40&lt;=0,"Sin prioridad",IF(R40&gt;60,"Alta",IF(R40&gt;30,"Media",IF(C40&lt;=Resumen!$B$3+15,"Media","Baja"))))</f>
        <v>Alta</v>
      </c>
      <c r="T40" t="s">
        <v>73</v>
      </c>
      <c r="U40" t="s">
        <v>91</v>
      </c>
      <c r="V40" t="s">
        <v>74</v>
      </c>
      <c r="W40" s="3">
        <f t="shared" si="3"/>
        <v>45901</v>
      </c>
      <c r="X40" s="3">
        <f t="shared" si="4"/>
        <v>45931</v>
      </c>
      <c r="Y40" t="s">
        <v>66</v>
      </c>
      <c r="Z40" t="str">
        <f>IF(AND(M40&gt;0,C40&lt;Resumen!$B$3),"Sí","No")</f>
        <v>Sí</v>
      </c>
      <c r="AA40" t="str">
        <f t="shared" si="5"/>
        <v>No</v>
      </c>
      <c r="AB40" t="str">
        <f t="shared" si="6"/>
        <v>Sí</v>
      </c>
    </row>
    <row r="41" spans="1:28">
      <c r="A41" t="s">
        <v>151</v>
      </c>
      <c r="B41" s="3">
        <v>45907</v>
      </c>
      <c r="C41" s="3">
        <v>45937</v>
      </c>
      <c r="D41" s="3">
        <v>45946</v>
      </c>
      <c r="E41" t="s">
        <v>132</v>
      </c>
      <c r="F41" t="s">
        <v>133</v>
      </c>
      <c r="G41" t="s">
        <v>59</v>
      </c>
      <c r="H41" t="s">
        <v>60</v>
      </c>
      <c r="I41" t="s">
        <v>61</v>
      </c>
      <c r="J41" t="s">
        <v>72</v>
      </c>
      <c r="K41" s="4">
        <v>367000</v>
      </c>
      <c r="L41" s="4">
        <v>367000</v>
      </c>
      <c r="M41" s="4">
        <f t="shared" si="0"/>
        <v>0</v>
      </c>
      <c r="N41" s="4">
        <v>1330</v>
      </c>
      <c r="O41" s="4">
        <f t="shared" si="1"/>
        <v>367000</v>
      </c>
      <c r="P41" s="4">
        <f t="shared" si="2"/>
        <v>0</v>
      </c>
      <c r="Q41" t="str">
        <f>IF(M41&lt;=0,"Cobrada",IF(L41&gt;0,"Parcial",IF(C41&lt;Resumen!$B$3,"Vencida",IF(C41&lt;=Resumen!$B$3+15,"Por vencer","Pendiente"))))</f>
        <v>Cobrada</v>
      </c>
      <c r="R41" s="5">
        <f>IF(M41&lt;=0,MAX(0,D41-C41),MAX(0,Resumen!$B$3-C41))</f>
        <v>9</v>
      </c>
      <c r="S41" t="str">
        <f>IF(M41&lt;=0,"Sin prioridad",IF(R41&gt;60,"Alta",IF(R41&gt;30,"Media",IF(C41&lt;=Resumen!$B$3+15,"Media","Baja"))))</f>
        <v>Sin prioridad</v>
      </c>
      <c r="T41" t="s">
        <v>73</v>
      </c>
      <c r="U41" t="s">
        <v>64</v>
      </c>
      <c r="V41" t="s">
        <v>74</v>
      </c>
      <c r="W41" s="3">
        <f t="shared" si="3"/>
        <v>45901</v>
      </c>
      <c r="X41" s="3">
        <f t="shared" si="4"/>
        <v>45931</v>
      </c>
      <c r="Y41" t="s">
        <v>66</v>
      </c>
      <c r="Z41" t="str">
        <f>IF(AND(M41&gt;0,C41&lt;Resumen!$B$3),"Sí","No")</f>
        <v>No</v>
      </c>
      <c r="AA41" t="str">
        <f t="shared" si="5"/>
        <v>No</v>
      </c>
      <c r="AB41" t="str">
        <f t="shared" si="6"/>
        <v>No</v>
      </c>
    </row>
    <row r="42" spans="1:28">
      <c r="A42" t="s">
        <v>152</v>
      </c>
      <c r="B42" s="3">
        <v>45909</v>
      </c>
      <c r="C42" s="3">
        <v>45939</v>
      </c>
      <c r="D42" s="3">
        <v>45956</v>
      </c>
      <c r="E42" t="s">
        <v>90</v>
      </c>
      <c r="F42" t="s">
        <v>12</v>
      </c>
      <c r="G42" t="s">
        <v>59</v>
      </c>
      <c r="H42" t="s">
        <v>70</v>
      </c>
      <c r="I42" t="s">
        <v>71</v>
      </c>
      <c r="J42" t="s">
        <v>62</v>
      </c>
      <c r="K42" s="4">
        <v>850</v>
      </c>
      <c r="L42" s="4">
        <v>850</v>
      </c>
      <c r="M42" s="4">
        <f t="shared" si="0"/>
        <v>0</v>
      </c>
      <c r="N42" s="4">
        <v>1330</v>
      </c>
      <c r="O42" s="4">
        <f t="shared" si="1"/>
        <v>1130500</v>
      </c>
      <c r="P42" s="4">
        <f t="shared" si="2"/>
        <v>0</v>
      </c>
      <c r="Q42" t="str">
        <f>IF(M42&lt;=0,"Cobrada",IF(L42&gt;0,"Parcial",IF(C42&lt;Resumen!$B$3,"Vencida",IF(C42&lt;=Resumen!$B$3+15,"Por vencer","Pendiente"))))</f>
        <v>Cobrada</v>
      </c>
      <c r="R42" s="5">
        <f>IF(M42&lt;=0,MAX(0,D42-C42),MAX(0,Resumen!$B$3-C42))</f>
        <v>17</v>
      </c>
      <c r="S42" t="str">
        <f>IF(M42&lt;=0,"Sin prioridad",IF(R42&gt;60,"Alta",IF(R42&gt;30,"Media",IF(C42&lt;=Resumen!$B$3+15,"Media","Baja"))))</f>
        <v>Sin prioridad</v>
      </c>
      <c r="T42" t="s">
        <v>63</v>
      </c>
      <c r="U42" t="s">
        <v>64</v>
      </c>
      <c r="V42" t="s">
        <v>65</v>
      </c>
      <c r="W42" s="3">
        <f t="shared" si="3"/>
        <v>45901</v>
      </c>
      <c r="X42" s="3">
        <f t="shared" si="4"/>
        <v>45931</v>
      </c>
      <c r="Y42" t="s">
        <v>66</v>
      </c>
      <c r="Z42" t="str">
        <f>IF(AND(M42&gt;0,C42&lt;Resumen!$B$3),"Sí","No")</f>
        <v>No</v>
      </c>
      <c r="AA42" t="str">
        <f t="shared" si="5"/>
        <v>No</v>
      </c>
      <c r="AB42" t="str">
        <f t="shared" si="6"/>
        <v>Sí</v>
      </c>
    </row>
    <row r="43" spans="1:28">
      <c r="A43" t="s">
        <v>153</v>
      </c>
      <c r="B43" s="3">
        <v>45908</v>
      </c>
      <c r="C43" s="3">
        <v>45938</v>
      </c>
      <c r="D43" s="3">
        <v>45959</v>
      </c>
      <c r="E43" t="s">
        <v>90</v>
      </c>
      <c r="F43" t="s">
        <v>12</v>
      </c>
      <c r="G43" t="s">
        <v>59</v>
      </c>
      <c r="H43" t="s">
        <v>113</v>
      </c>
      <c r="I43" t="s">
        <v>114</v>
      </c>
      <c r="J43" t="s">
        <v>62</v>
      </c>
      <c r="K43" s="4">
        <v>2400</v>
      </c>
      <c r="L43" s="4">
        <v>2400</v>
      </c>
      <c r="M43" s="4">
        <f t="shared" si="0"/>
        <v>0</v>
      </c>
      <c r="N43" s="4">
        <v>1330</v>
      </c>
      <c r="O43" s="4">
        <f t="shared" si="1"/>
        <v>3192000</v>
      </c>
      <c r="P43" s="4">
        <f t="shared" si="2"/>
        <v>0</v>
      </c>
      <c r="Q43" t="str">
        <f>IF(M43&lt;=0,"Cobrada",IF(L43&gt;0,"Parcial",IF(C43&lt;Resumen!$B$3,"Vencida",IF(C43&lt;=Resumen!$B$3+15,"Por vencer","Pendiente"))))</f>
        <v>Cobrada</v>
      </c>
      <c r="R43" s="5">
        <f>IF(M43&lt;=0,MAX(0,D43-C43),MAX(0,Resumen!$B$3-C43))</f>
        <v>21</v>
      </c>
      <c r="S43" t="str">
        <f>IF(M43&lt;=0,"Sin prioridad",IF(R43&gt;60,"Alta",IF(R43&gt;30,"Media",IF(C43&lt;=Resumen!$B$3+15,"Media","Baja"))))</f>
        <v>Sin prioridad</v>
      </c>
      <c r="T43" t="s">
        <v>63</v>
      </c>
      <c r="U43" t="s">
        <v>64</v>
      </c>
      <c r="V43" t="s">
        <v>65</v>
      </c>
      <c r="W43" s="3">
        <f t="shared" si="3"/>
        <v>45901</v>
      </c>
      <c r="X43" s="3">
        <f t="shared" si="4"/>
        <v>45931</v>
      </c>
      <c r="Y43" t="s">
        <v>66</v>
      </c>
      <c r="Z43" t="str">
        <f>IF(AND(M43&gt;0,C43&lt;Resumen!$B$3),"Sí","No")</f>
        <v>No</v>
      </c>
      <c r="AA43" t="str">
        <f t="shared" si="5"/>
        <v>No</v>
      </c>
      <c r="AB43" t="str">
        <f t="shared" si="6"/>
        <v>Sí</v>
      </c>
    </row>
    <row r="44" spans="1:28">
      <c r="A44" t="s">
        <v>154</v>
      </c>
      <c r="B44" s="3">
        <v>45913</v>
      </c>
      <c r="C44" s="3">
        <v>45928</v>
      </c>
      <c r="D44" s="3">
        <v>45932</v>
      </c>
      <c r="E44" t="s">
        <v>76</v>
      </c>
      <c r="F44" t="s">
        <v>77</v>
      </c>
      <c r="G44" t="s">
        <v>59</v>
      </c>
      <c r="H44" t="s">
        <v>70</v>
      </c>
      <c r="I44" t="s">
        <v>71</v>
      </c>
      <c r="J44" t="s">
        <v>72</v>
      </c>
      <c r="K44" s="4">
        <v>926000</v>
      </c>
      <c r="L44" s="4">
        <v>926000</v>
      </c>
      <c r="M44" s="4">
        <f t="shared" si="0"/>
        <v>0</v>
      </c>
      <c r="N44" s="4">
        <v>1330</v>
      </c>
      <c r="O44" s="4">
        <f t="shared" si="1"/>
        <v>926000</v>
      </c>
      <c r="P44" s="4">
        <f t="shared" si="2"/>
        <v>0</v>
      </c>
      <c r="Q44" t="str">
        <f>IF(M44&lt;=0,"Cobrada",IF(L44&gt;0,"Parcial",IF(C44&lt;Resumen!$B$3,"Vencida",IF(C44&lt;=Resumen!$B$3+15,"Por vencer","Pendiente"))))</f>
        <v>Cobrada</v>
      </c>
      <c r="R44" s="5">
        <f>IF(M44&lt;=0,MAX(0,D44-C44),MAX(0,Resumen!$B$3-C44))</f>
        <v>4</v>
      </c>
      <c r="S44" t="str">
        <f>IF(M44&lt;=0,"Sin prioridad",IF(R44&gt;60,"Alta",IF(R44&gt;30,"Media",IF(C44&lt;=Resumen!$B$3+15,"Media","Baja"))))</f>
        <v>Sin prioridad</v>
      </c>
      <c r="T44" t="s">
        <v>73</v>
      </c>
      <c r="U44" t="s">
        <v>64</v>
      </c>
      <c r="V44" t="s">
        <v>78</v>
      </c>
      <c r="W44" s="3">
        <f t="shared" si="3"/>
        <v>45901</v>
      </c>
      <c r="X44" s="3">
        <f t="shared" si="4"/>
        <v>45901</v>
      </c>
      <c r="Y44" t="s">
        <v>66</v>
      </c>
      <c r="Z44" t="str">
        <f>IF(AND(M44&gt;0,C44&lt;Resumen!$B$3),"Sí","No")</f>
        <v>No</v>
      </c>
      <c r="AA44" t="str">
        <f t="shared" si="5"/>
        <v>No</v>
      </c>
      <c r="AB44" t="str">
        <f t="shared" si="6"/>
        <v>No</v>
      </c>
    </row>
    <row r="45" spans="1:28">
      <c r="A45" t="s">
        <v>155</v>
      </c>
      <c r="B45" s="3">
        <v>45902</v>
      </c>
      <c r="C45" s="3">
        <v>45932</v>
      </c>
      <c r="D45" s="3">
        <v>45932</v>
      </c>
      <c r="E45" t="s">
        <v>100</v>
      </c>
      <c r="F45" t="s">
        <v>101</v>
      </c>
      <c r="G45" t="s">
        <v>59</v>
      </c>
      <c r="H45" t="s">
        <v>70</v>
      </c>
      <c r="I45" t="s">
        <v>71</v>
      </c>
      <c r="J45" t="s">
        <v>72</v>
      </c>
      <c r="K45" s="4">
        <v>926000</v>
      </c>
      <c r="L45" s="4">
        <v>926000</v>
      </c>
      <c r="M45" s="4">
        <f t="shared" si="0"/>
        <v>0</v>
      </c>
      <c r="N45" s="4">
        <v>1330</v>
      </c>
      <c r="O45" s="4">
        <f t="shared" si="1"/>
        <v>926000</v>
      </c>
      <c r="P45" s="4">
        <f t="shared" si="2"/>
        <v>0</v>
      </c>
      <c r="Q45" t="str">
        <f>IF(M45&lt;=0,"Cobrada",IF(L45&gt;0,"Parcial",IF(C45&lt;Resumen!$B$3,"Vencida",IF(C45&lt;=Resumen!$B$3+15,"Por vencer","Pendiente"))))</f>
        <v>Cobrada</v>
      </c>
      <c r="R45" s="5">
        <f>IF(M45&lt;=0,MAX(0,D45-C45),MAX(0,Resumen!$B$3-C45))</f>
        <v>0</v>
      </c>
      <c r="S45" t="str">
        <f>IF(M45&lt;=0,"Sin prioridad",IF(R45&gt;60,"Alta",IF(R45&gt;30,"Media",IF(C45&lt;=Resumen!$B$3+15,"Media","Baja"))))</f>
        <v>Sin prioridad</v>
      </c>
      <c r="T45" t="s">
        <v>87</v>
      </c>
      <c r="U45" t="s">
        <v>64</v>
      </c>
      <c r="V45" t="s">
        <v>65</v>
      </c>
      <c r="W45" s="3">
        <f t="shared" si="3"/>
        <v>45901</v>
      </c>
      <c r="X45" s="3">
        <f t="shared" si="4"/>
        <v>45931</v>
      </c>
      <c r="Y45" t="s">
        <v>66</v>
      </c>
      <c r="Z45" t="str">
        <f>IF(AND(M45&gt;0,C45&lt;Resumen!$B$3),"Sí","No")</f>
        <v>No</v>
      </c>
      <c r="AA45" t="str">
        <f t="shared" si="5"/>
        <v>No</v>
      </c>
      <c r="AB45" t="str">
        <f t="shared" si="6"/>
        <v>No</v>
      </c>
    </row>
    <row r="46" spans="1:28">
      <c r="A46" t="s">
        <v>156</v>
      </c>
      <c r="B46" s="3">
        <v>45916</v>
      </c>
      <c r="C46" s="3">
        <v>45946</v>
      </c>
      <c r="D46" s="3">
        <v>45954</v>
      </c>
      <c r="E46" t="s">
        <v>118</v>
      </c>
      <c r="F46" t="s">
        <v>22</v>
      </c>
      <c r="G46" t="s">
        <v>59</v>
      </c>
      <c r="H46" t="s">
        <v>110</v>
      </c>
      <c r="I46" t="s">
        <v>111</v>
      </c>
      <c r="J46" t="s">
        <v>72</v>
      </c>
      <c r="K46" s="4">
        <v>1180000</v>
      </c>
      <c r="L46" s="4">
        <v>1180000</v>
      </c>
      <c r="M46" s="4">
        <f t="shared" si="0"/>
        <v>0</v>
      </c>
      <c r="N46" s="4">
        <v>1330</v>
      </c>
      <c r="O46" s="4">
        <f t="shared" si="1"/>
        <v>1180000</v>
      </c>
      <c r="P46" s="4">
        <f t="shared" si="2"/>
        <v>0</v>
      </c>
      <c r="Q46" t="str">
        <f>IF(M46&lt;=0,"Cobrada",IF(L46&gt;0,"Parcial",IF(C46&lt;Resumen!$B$3,"Vencida",IF(C46&lt;=Resumen!$B$3+15,"Por vencer","Pendiente"))))</f>
        <v>Cobrada</v>
      </c>
      <c r="R46" s="5">
        <f>IF(M46&lt;=0,MAX(0,D46-C46),MAX(0,Resumen!$B$3-C46))</f>
        <v>8</v>
      </c>
      <c r="S46" t="str">
        <f>IF(M46&lt;=0,"Sin prioridad",IF(R46&gt;60,"Alta",IF(R46&gt;30,"Media",IF(C46&lt;=Resumen!$B$3+15,"Media","Baja"))))</f>
        <v>Sin prioridad</v>
      </c>
      <c r="T46" t="s">
        <v>87</v>
      </c>
      <c r="U46" t="s">
        <v>64</v>
      </c>
      <c r="V46" t="s">
        <v>80</v>
      </c>
      <c r="W46" s="3">
        <f t="shared" si="3"/>
        <v>45901</v>
      </c>
      <c r="X46" s="3">
        <f t="shared" si="4"/>
        <v>45931</v>
      </c>
      <c r="Y46" t="s">
        <v>66</v>
      </c>
      <c r="Z46" t="str">
        <f>IF(AND(M46&gt;0,C46&lt;Resumen!$B$3),"Sí","No")</f>
        <v>No</v>
      </c>
      <c r="AA46" t="str">
        <f t="shared" si="5"/>
        <v>No</v>
      </c>
      <c r="AB46" t="str">
        <f t="shared" si="6"/>
        <v>No</v>
      </c>
    </row>
    <row r="47" spans="1:28">
      <c r="A47" t="s">
        <v>157</v>
      </c>
      <c r="B47" s="3">
        <v>45914</v>
      </c>
      <c r="C47" s="3">
        <v>45959</v>
      </c>
      <c r="D47" s="3">
        <v>45991</v>
      </c>
      <c r="E47" t="s">
        <v>120</v>
      </c>
      <c r="F47" t="s">
        <v>14</v>
      </c>
      <c r="G47" t="s">
        <v>59</v>
      </c>
      <c r="H47" t="s">
        <v>113</v>
      </c>
      <c r="I47" t="s">
        <v>114</v>
      </c>
      <c r="J47" t="s">
        <v>72</v>
      </c>
      <c r="K47" s="4">
        <v>1004000</v>
      </c>
      <c r="L47" s="4">
        <v>1004000</v>
      </c>
      <c r="M47" s="4">
        <f t="shared" si="0"/>
        <v>0</v>
      </c>
      <c r="N47" s="4">
        <v>1330</v>
      </c>
      <c r="O47" s="4">
        <f t="shared" si="1"/>
        <v>1004000</v>
      </c>
      <c r="P47" s="4">
        <f t="shared" si="2"/>
        <v>0</v>
      </c>
      <c r="Q47" t="str">
        <f>IF(M47&lt;=0,"Cobrada",IF(L47&gt;0,"Parcial",IF(C47&lt;Resumen!$B$3,"Vencida",IF(C47&lt;=Resumen!$B$3+15,"Por vencer","Pendiente"))))</f>
        <v>Cobrada</v>
      </c>
      <c r="R47" s="5">
        <f>IF(M47&lt;=0,MAX(0,D47-C47),MAX(0,Resumen!$B$3-C47))</f>
        <v>32</v>
      </c>
      <c r="S47" t="str">
        <f>IF(M47&lt;=0,"Sin prioridad",IF(R47&gt;60,"Alta",IF(R47&gt;30,"Media",IF(C47&lt;=Resumen!$B$3+15,"Media","Baja"))))</f>
        <v>Sin prioridad</v>
      </c>
      <c r="T47" t="s">
        <v>63</v>
      </c>
      <c r="U47" t="s">
        <v>64</v>
      </c>
      <c r="V47" t="s">
        <v>74</v>
      </c>
      <c r="W47" s="3">
        <f t="shared" si="3"/>
        <v>45901</v>
      </c>
      <c r="X47" s="3">
        <f t="shared" si="4"/>
        <v>45931</v>
      </c>
      <c r="Y47" t="s">
        <v>66</v>
      </c>
      <c r="Z47" t="str">
        <f>IF(AND(M47&gt;0,C47&lt;Resumen!$B$3),"Sí","No")</f>
        <v>No</v>
      </c>
      <c r="AA47" t="str">
        <f t="shared" si="5"/>
        <v>No</v>
      </c>
      <c r="AB47" t="str">
        <f t="shared" si="6"/>
        <v>No</v>
      </c>
    </row>
    <row r="48" spans="1:28">
      <c r="A48" t="s">
        <v>158</v>
      </c>
      <c r="B48" s="3">
        <v>45906</v>
      </c>
      <c r="C48" s="3">
        <v>45921</v>
      </c>
      <c r="D48" s="3"/>
      <c r="E48" t="s">
        <v>85</v>
      </c>
      <c r="F48" t="s">
        <v>86</v>
      </c>
      <c r="G48" t="s">
        <v>59</v>
      </c>
      <c r="H48" t="s">
        <v>70</v>
      </c>
      <c r="I48" t="s">
        <v>71</v>
      </c>
      <c r="J48" t="s">
        <v>62</v>
      </c>
      <c r="K48" s="4">
        <v>750</v>
      </c>
      <c r="L48" s="4">
        <v>0</v>
      </c>
      <c r="M48" s="4">
        <f t="shared" si="0"/>
        <v>750</v>
      </c>
      <c r="N48" s="4">
        <v>1330</v>
      </c>
      <c r="O48" s="4">
        <f t="shared" si="1"/>
        <v>997500</v>
      </c>
      <c r="P48" s="4">
        <f t="shared" si="2"/>
        <v>997500</v>
      </c>
      <c r="Q48" t="str">
        <f>IF(M48&lt;=0,"Cobrada",IF(L48&gt;0,"Parcial",IF(C48&lt;Resumen!$B$3,"Vencida",IF(C48&lt;=Resumen!$B$3+15,"Por vencer","Pendiente"))))</f>
        <v>Vencida</v>
      </c>
      <c r="R48" s="5">
        <f>IF(M48&lt;=0,MAX(0,D48-C48),MAX(0,Resumen!$B$3-C48))</f>
        <v>283</v>
      </c>
      <c r="S48" t="str">
        <f>IF(M48&lt;=0,"Sin prioridad",IF(R48&gt;60,"Alta",IF(R48&gt;30,"Media",IF(C48&lt;=Resumen!$B$3+15,"Media","Baja"))))</f>
        <v>Alta</v>
      </c>
      <c r="T48" t="s">
        <v>87</v>
      </c>
      <c r="U48" t="s">
        <v>88</v>
      </c>
      <c r="W48" s="3">
        <f t="shared" si="3"/>
        <v>45901</v>
      </c>
      <c r="X48" s="3">
        <f t="shared" si="4"/>
        <v>45901</v>
      </c>
      <c r="Y48" t="s">
        <v>66</v>
      </c>
      <c r="Z48" t="str">
        <f>IF(AND(M48&gt;0,C48&lt;Resumen!$B$3),"Sí","No")</f>
        <v>Sí</v>
      </c>
      <c r="AA48" t="str">
        <f t="shared" si="5"/>
        <v>No</v>
      </c>
      <c r="AB48" t="str">
        <f t="shared" si="6"/>
        <v>Sí</v>
      </c>
    </row>
    <row r="49" spans="1:28">
      <c r="A49" t="s">
        <v>159</v>
      </c>
      <c r="B49" s="3">
        <v>45914</v>
      </c>
      <c r="C49" s="3">
        <v>45959</v>
      </c>
      <c r="D49" s="3">
        <v>45972</v>
      </c>
      <c r="E49" t="s">
        <v>160</v>
      </c>
      <c r="F49" t="s">
        <v>17</v>
      </c>
      <c r="G49" t="s">
        <v>59</v>
      </c>
      <c r="H49" t="s">
        <v>60</v>
      </c>
      <c r="I49" t="s">
        <v>61</v>
      </c>
      <c r="J49" t="s">
        <v>72</v>
      </c>
      <c r="K49" s="4">
        <v>832000</v>
      </c>
      <c r="L49" s="4">
        <v>214547.43</v>
      </c>
      <c r="M49" s="4">
        <f t="shared" si="0"/>
        <v>617452.57000000007</v>
      </c>
      <c r="N49" s="4">
        <v>1330</v>
      </c>
      <c r="O49" s="4">
        <f t="shared" si="1"/>
        <v>832000</v>
      </c>
      <c r="P49" s="4">
        <f t="shared" si="2"/>
        <v>617452.57000000007</v>
      </c>
      <c r="Q49" t="str">
        <f>IF(M49&lt;=0,"Cobrada",IF(L49&gt;0,"Parcial",IF(C49&lt;Resumen!$B$3,"Vencida",IF(C49&lt;=Resumen!$B$3+15,"Por vencer","Pendiente"))))</f>
        <v>Parcial</v>
      </c>
      <c r="R49" s="5">
        <f>IF(M49&lt;=0,MAX(0,D49-C49),MAX(0,Resumen!$B$3-C49))</f>
        <v>245</v>
      </c>
      <c r="S49" t="str">
        <f>IF(M49&lt;=0,"Sin prioridad",IF(R49&gt;60,"Alta",IF(R49&gt;30,"Media",IF(C49&lt;=Resumen!$B$3+15,"Media","Baja"))))</f>
        <v>Alta</v>
      </c>
      <c r="T49" t="s">
        <v>83</v>
      </c>
      <c r="U49" t="s">
        <v>105</v>
      </c>
      <c r="V49" t="s">
        <v>74</v>
      </c>
      <c r="W49" s="3">
        <f t="shared" si="3"/>
        <v>45901</v>
      </c>
      <c r="X49" s="3">
        <f t="shared" si="4"/>
        <v>45931</v>
      </c>
      <c r="Y49" t="s">
        <v>66</v>
      </c>
      <c r="Z49" t="str">
        <f>IF(AND(M49&gt;0,C49&lt;Resumen!$B$3),"Sí","No")</f>
        <v>Sí</v>
      </c>
      <c r="AA49" t="str">
        <f t="shared" si="5"/>
        <v>Sí</v>
      </c>
      <c r="AB49" t="str">
        <f t="shared" si="6"/>
        <v>No</v>
      </c>
    </row>
    <row r="50" spans="1:28">
      <c r="A50" t="s">
        <v>161</v>
      </c>
      <c r="B50" s="3">
        <v>45925</v>
      </c>
      <c r="C50" s="3">
        <v>45940</v>
      </c>
      <c r="D50" s="3">
        <v>45949</v>
      </c>
      <c r="E50" t="s">
        <v>162</v>
      </c>
      <c r="F50" t="s">
        <v>163</v>
      </c>
      <c r="G50" t="s">
        <v>59</v>
      </c>
      <c r="H50" t="s">
        <v>60</v>
      </c>
      <c r="I50" t="s">
        <v>61</v>
      </c>
      <c r="J50" t="s">
        <v>72</v>
      </c>
      <c r="K50" s="4">
        <v>534000</v>
      </c>
      <c r="L50" s="4">
        <v>534000</v>
      </c>
      <c r="M50" s="4">
        <f t="shared" si="0"/>
        <v>0</v>
      </c>
      <c r="N50" s="4">
        <v>1330</v>
      </c>
      <c r="O50" s="4">
        <f t="shared" si="1"/>
        <v>534000</v>
      </c>
      <c r="P50" s="4">
        <f t="shared" si="2"/>
        <v>0</v>
      </c>
      <c r="Q50" t="str">
        <f>IF(M50&lt;=0,"Cobrada",IF(L50&gt;0,"Parcial",IF(C50&lt;Resumen!$B$3,"Vencida",IF(C50&lt;=Resumen!$B$3+15,"Por vencer","Pendiente"))))</f>
        <v>Cobrada</v>
      </c>
      <c r="R50" s="5">
        <f>IF(M50&lt;=0,MAX(0,D50-C50),MAX(0,Resumen!$B$3-C50))</f>
        <v>9</v>
      </c>
      <c r="S50" t="str">
        <f>IF(M50&lt;=0,"Sin prioridad",IF(R50&gt;60,"Alta",IF(R50&gt;30,"Media",IF(C50&lt;=Resumen!$B$3+15,"Media","Baja"))))</f>
        <v>Sin prioridad</v>
      </c>
      <c r="T50" t="s">
        <v>83</v>
      </c>
      <c r="U50" t="s">
        <v>64</v>
      </c>
      <c r="V50" t="s">
        <v>80</v>
      </c>
      <c r="W50" s="3">
        <f t="shared" si="3"/>
        <v>45901</v>
      </c>
      <c r="X50" s="3">
        <f t="shared" si="4"/>
        <v>45931</v>
      </c>
      <c r="Y50" t="s">
        <v>66</v>
      </c>
      <c r="Z50" t="str">
        <f>IF(AND(M50&gt;0,C50&lt;Resumen!$B$3),"Sí","No")</f>
        <v>No</v>
      </c>
      <c r="AA50" t="str">
        <f t="shared" si="5"/>
        <v>No</v>
      </c>
      <c r="AB50" t="str">
        <f t="shared" si="6"/>
        <v>No</v>
      </c>
    </row>
    <row r="51" spans="1:28">
      <c r="A51" t="s">
        <v>164</v>
      </c>
      <c r="B51" s="3">
        <v>45947</v>
      </c>
      <c r="C51" s="3">
        <v>45962</v>
      </c>
      <c r="D51" s="3">
        <v>45963</v>
      </c>
      <c r="E51" t="s">
        <v>165</v>
      </c>
      <c r="F51" t="s">
        <v>166</v>
      </c>
      <c r="G51" t="s">
        <v>59</v>
      </c>
      <c r="H51" t="s">
        <v>70</v>
      </c>
      <c r="I51" t="s">
        <v>71</v>
      </c>
      <c r="J51" t="s">
        <v>72</v>
      </c>
      <c r="K51" s="4">
        <v>898000</v>
      </c>
      <c r="L51" s="4">
        <v>898000</v>
      </c>
      <c r="M51" s="4">
        <f t="shared" si="0"/>
        <v>0</v>
      </c>
      <c r="N51" s="4">
        <v>1354</v>
      </c>
      <c r="O51" s="4">
        <f t="shared" si="1"/>
        <v>898000</v>
      </c>
      <c r="P51" s="4">
        <f t="shared" si="2"/>
        <v>0</v>
      </c>
      <c r="Q51" t="str">
        <f>IF(M51&lt;=0,"Cobrada",IF(L51&gt;0,"Parcial",IF(C51&lt;Resumen!$B$3,"Vencida",IF(C51&lt;=Resumen!$B$3+15,"Por vencer","Pendiente"))))</f>
        <v>Cobrada</v>
      </c>
      <c r="R51" s="5">
        <f>IF(M51&lt;=0,MAX(0,D51-C51),MAX(0,Resumen!$B$3-C51))</f>
        <v>1</v>
      </c>
      <c r="S51" t="str">
        <f>IF(M51&lt;=0,"Sin prioridad",IF(R51&gt;60,"Alta",IF(R51&gt;30,"Media",IF(C51&lt;=Resumen!$B$3+15,"Media","Baja"))))</f>
        <v>Sin prioridad</v>
      </c>
      <c r="T51" t="s">
        <v>87</v>
      </c>
      <c r="U51" t="s">
        <v>64</v>
      </c>
      <c r="V51" t="s">
        <v>65</v>
      </c>
      <c r="W51" s="3">
        <f t="shared" si="3"/>
        <v>45931</v>
      </c>
      <c r="X51" s="3">
        <f t="shared" si="4"/>
        <v>45962</v>
      </c>
      <c r="Y51" t="s">
        <v>167</v>
      </c>
      <c r="Z51" t="str">
        <f>IF(AND(M51&gt;0,C51&lt;Resumen!$B$3),"Sí","No")</f>
        <v>No</v>
      </c>
      <c r="AA51" t="str">
        <f t="shared" si="5"/>
        <v>No</v>
      </c>
      <c r="AB51" t="str">
        <f t="shared" si="6"/>
        <v>No</v>
      </c>
    </row>
    <row r="52" spans="1:28">
      <c r="A52" t="s">
        <v>168</v>
      </c>
      <c r="B52" s="3">
        <v>45953</v>
      </c>
      <c r="C52" s="3">
        <v>45998</v>
      </c>
      <c r="D52" s="3">
        <v>45994</v>
      </c>
      <c r="E52" t="s">
        <v>125</v>
      </c>
      <c r="F52" t="s">
        <v>126</v>
      </c>
      <c r="G52" t="s">
        <v>59</v>
      </c>
      <c r="H52" t="s">
        <v>70</v>
      </c>
      <c r="I52" t="s">
        <v>71</v>
      </c>
      <c r="J52" t="s">
        <v>72</v>
      </c>
      <c r="K52" s="4">
        <v>801000</v>
      </c>
      <c r="L52" s="4">
        <v>801000</v>
      </c>
      <c r="M52" s="4">
        <f t="shared" si="0"/>
        <v>0</v>
      </c>
      <c r="N52" s="4">
        <v>1354</v>
      </c>
      <c r="O52" s="4">
        <f t="shared" si="1"/>
        <v>801000</v>
      </c>
      <c r="P52" s="4">
        <f t="shared" si="2"/>
        <v>0</v>
      </c>
      <c r="Q52" t="str">
        <f>IF(M52&lt;=0,"Cobrada",IF(L52&gt;0,"Parcial",IF(C52&lt;Resumen!$B$3,"Vencida",IF(C52&lt;=Resumen!$B$3+15,"Por vencer","Pendiente"))))</f>
        <v>Cobrada</v>
      </c>
      <c r="R52" s="5">
        <f>IF(M52&lt;=0,MAX(0,D52-C52),MAX(0,Resumen!$B$3-C52))</f>
        <v>0</v>
      </c>
      <c r="S52" t="str">
        <f>IF(M52&lt;=0,"Sin prioridad",IF(R52&gt;60,"Alta",IF(R52&gt;30,"Media",IF(C52&lt;=Resumen!$B$3+15,"Media","Baja"))))</f>
        <v>Sin prioridad</v>
      </c>
      <c r="T52" t="s">
        <v>73</v>
      </c>
      <c r="U52" t="s">
        <v>64</v>
      </c>
      <c r="V52" t="s">
        <v>65</v>
      </c>
      <c r="W52" s="3">
        <f t="shared" si="3"/>
        <v>45931</v>
      </c>
      <c r="X52" s="3">
        <f t="shared" si="4"/>
        <v>45992</v>
      </c>
      <c r="Y52" t="s">
        <v>167</v>
      </c>
      <c r="Z52" t="str">
        <f>IF(AND(M52&gt;0,C52&lt;Resumen!$B$3),"Sí","No")</f>
        <v>No</v>
      </c>
      <c r="AA52" t="str">
        <f t="shared" si="5"/>
        <v>No</v>
      </c>
      <c r="AB52" t="str">
        <f t="shared" si="6"/>
        <v>No</v>
      </c>
    </row>
    <row r="53" spans="1:28">
      <c r="A53" t="s">
        <v>169</v>
      </c>
      <c r="B53" s="3">
        <v>45952</v>
      </c>
      <c r="C53" s="3">
        <v>45967</v>
      </c>
      <c r="D53" s="3">
        <v>45973</v>
      </c>
      <c r="E53" t="s">
        <v>162</v>
      </c>
      <c r="F53" t="s">
        <v>163</v>
      </c>
      <c r="G53" t="s">
        <v>59</v>
      </c>
      <c r="H53" t="s">
        <v>113</v>
      </c>
      <c r="I53" t="s">
        <v>114</v>
      </c>
      <c r="J53" t="s">
        <v>62</v>
      </c>
      <c r="K53" s="4">
        <v>1250</v>
      </c>
      <c r="L53" s="4">
        <v>1250</v>
      </c>
      <c r="M53" s="4">
        <f t="shared" si="0"/>
        <v>0</v>
      </c>
      <c r="N53" s="4">
        <v>1354</v>
      </c>
      <c r="O53" s="4">
        <f t="shared" si="1"/>
        <v>1692500</v>
      </c>
      <c r="P53" s="4">
        <f t="shared" si="2"/>
        <v>0</v>
      </c>
      <c r="Q53" t="str">
        <f>IF(M53&lt;=0,"Cobrada",IF(L53&gt;0,"Parcial",IF(C53&lt;Resumen!$B$3,"Vencida",IF(C53&lt;=Resumen!$B$3+15,"Por vencer","Pendiente"))))</f>
        <v>Cobrada</v>
      </c>
      <c r="R53" s="5">
        <f>IF(M53&lt;=0,MAX(0,D53-C53),MAX(0,Resumen!$B$3-C53))</f>
        <v>6</v>
      </c>
      <c r="S53" t="str">
        <f>IF(M53&lt;=0,"Sin prioridad",IF(R53&gt;60,"Alta",IF(R53&gt;30,"Media",IF(C53&lt;=Resumen!$B$3+15,"Media","Baja"))))</f>
        <v>Sin prioridad</v>
      </c>
      <c r="T53" t="s">
        <v>83</v>
      </c>
      <c r="U53" t="s">
        <v>64</v>
      </c>
      <c r="V53" t="s">
        <v>106</v>
      </c>
      <c r="W53" s="3">
        <f t="shared" si="3"/>
        <v>45931</v>
      </c>
      <c r="X53" s="3">
        <f t="shared" si="4"/>
        <v>45962</v>
      </c>
      <c r="Y53" t="s">
        <v>167</v>
      </c>
      <c r="Z53" t="str">
        <f>IF(AND(M53&gt;0,C53&lt;Resumen!$B$3),"Sí","No")</f>
        <v>No</v>
      </c>
      <c r="AA53" t="str">
        <f t="shared" si="5"/>
        <v>No</v>
      </c>
      <c r="AB53" t="str">
        <f t="shared" si="6"/>
        <v>Sí</v>
      </c>
    </row>
    <row r="54" spans="1:28">
      <c r="A54" t="s">
        <v>170</v>
      </c>
      <c r="B54" s="3">
        <v>45953</v>
      </c>
      <c r="C54" s="3">
        <v>45968</v>
      </c>
      <c r="D54" s="3">
        <v>45987</v>
      </c>
      <c r="E54" t="s">
        <v>171</v>
      </c>
      <c r="F54" t="s">
        <v>21</v>
      </c>
      <c r="G54" t="s">
        <v>59</v>
      </c>
      <c r="H54" t="s">
        <v>70</v>
      </c>
      <c r="I54" t="s">
        <v>71</v>
      </c>
      <c r="J54" t="s">
        <v>62</v>
      </c>
      <c r="K54" s="4">
        <v>500</v>
      </c>
      <c r="L54" s="4">
        <v>500</v>
      </c>
      <c r="M54" s="4">
        <f t="shared" si="0"/>
        <v>0</v>
      </c>
      <c r="N54" s="4">
        <v>1354</v>
      </c>
      <c r="O54" s="4">
        <f t="shared" si="1"/>
        <v>677000</v>
      </c>
      <c r="P54" s="4">
        <f t="shared" si="2"/>
        <v>0</v>
      </c>
      <c r="Q54" t="str">
        <f>IF(M54&lt;=0,"Cobrada",IF(L54&gt;0,"Parcial",IF(C54&lt;Resumen!$B$3,"Vencida",IF(C54&lt;=Resumen!$B$3+15,"Por vencer","Pendiente"))))</f>
        <v>Cobrada</v>
      </c>
      <c r="R54" s="5">
        <f>IF(M54&lt;=0,MAX(0,D54-C54),MAX(0,Resumen!$B$3-C54))</f>
        <v>19</v>
      </c>
      <c r="S54" t="str">
        <f>IF(M54&lt;=0,"Sin prioridad",IF(R54&gt;60,"Alta",IF(R54&gt;30,"Media",IF(C54&lt;=Resumen!$B$3+15,"Media","Baja"))))</f>
        <v>Sin prioridad</v>
      </c>
      <c r="T54" t="s">
        <v>87</v>
      </c>
      <c r="U54" t="s">
        <v>64</v>
      </c>
      <c r="V54" t="s">
        <v>80</v>
      </c>
      <c r="W54" s="3">
        <f t="shared" si="3"/>
        <v>45931</v>
      </c>
      <c r="X54" s="3">
        <f t="shared" si="4"/>
        <v>45962</v>
      </c>
      <c r="Y54" t="s">
        <v>167</v>
      </c>
      <c r="Z54" t="str">
        <f>IF(AND(M54&gt;0,C54&lt;Resumen!$B$3),"Sí","No")</f>
        <v>No</v>
      </c>
      <c r="AA54" t="str">
        <f t="shared" si="5"/>
        <v>No</v>
      </c>
      <c r="AB54" t="str">
        <f t="shared" si="6"/>
        <v>Sí</v>
      </c>
    </row>
    <row r="55" spans="1:28">
      <c r="A55" t="s">
        <v>172</v>
      </c>
      <c r="B55" s="3">
        <v>45953</v>
      </c>
      <c r="C55" s="3">
        <v>45968</v>
      </c>
      <c r="D55" s="3">
        <v>45972</v>
      </c>
      <c r="E55" t="s">
        <v>76</v>
      </c>
      <c r="F55" t="s">
        <v>77</v>
      </c>
      <c r="G55" t="s">
        <v>59</v>
      </c>
      <c r="H55" t="s">
        <v>110</v>
      </c>
      <c r="I55" t="s">
        <v>111</v>
      </c>
      <c r="J55" t="s">
        <v>72</v>
      </c>
      <c r="K55" s="4">
        <v>715000</v>
      </c>
      <c r="L55" s="4">
        <v>715000</v>
      </c>
      <c r="M55" s="4">
        <f t="shared" si="0"/>
        <v>0</v>
      </c>
      <c r="N55" s="4">
        <v>1354</v>
      </c>
      <c r="O55" s="4">
        <f t="shared" si="1"/>
        <v>715000</v>
      </c>
      <c r="P55" s="4">
        <f t="shared" si="2"/>
        <v>0</v>
      </c>
      <c r="Q55" t="str">
        <f>IF(M55&lt;=0,"Cobrada",IF(L55&gt;0,"Parcial",IF(C55&lt;Resumen!$B$3,"Vencida",IF(C55&lt;=Resumen!$B$3+15,"Por vencer","Pendiente"))))</f>
        <v>Cobrada</v>
      </c>
      <c r="R55" s="5">
        <f>IF(M55&lt;=0,MAX(0,D55-C55),MAX(0,Resumen!$B$3-C55))</f>
        <v>4</v>
      </c>
      <c r="S55" t="str">
        <f>IF(M55&lt;=0,"Sin prioridad",IF(R55&gt;60,"Alta",IF(R55&gt;30,"Media",IF(C55&lt;=Resumen!$B$3+15,"Media","Baja"))))</f>
        <v>Sin prioridad</v>
      </c>
      <c r="T55" t="s">
        <v>73</v>
      </c>
      <c r="U55" t="s">
        <v>64</v>
      </c>
      <c r="V55" t="s">
        <v>106</v>
      </c>
      <c r="W55" s="3">
        <f t="shared" si="3"/>
        <v>45931</v>
      </c>
      <c r="X55" s="3">
        <f t="shared" si="4"/>
        <v>45962</v>
      </c>
      <c r="Y55" t="s">
        <v>167</v>
      </c>
      <c r="Z55" t="str">
        <f>IF(AND(M55&gt;0,C55&lt;Resumen!$B$3),"Sí","No")</f>
        <v>No</v>
      </c>
      <c r="AA55" t="str">
        <f t="shared" si="5"/>
        <v>No</v>
      </c>
      <c r="AB55" t="str">
        <f t="shared" si="6"/>
        <v>No</v>
      </c>
    </row>
    <row r="56" spans="1:28">
      <c r="A56" t="s">
        <v>173</v>
      </c>
      <c r="B56" s="3">
        <v>45932</v>
      </c>
      <c r="C56" s="3">
        <v>45977</v>
      </c>
      <c r="D56" s="3">
        <v>45977</v>
      </c>
      <c r="E56" t="s">
        <v>125</v>
      </c>
      <c r="F56" t="s">
        <v>126</v>
      </c>
      <c r="G56" t="s">
        <v>59</v>
      </c>
      <c r="H56" t="s">
        <v>140</v>
      </c>
      <c r="I56" t="s">
        <v>141</v>
      </c>
      <c r="J56" t="s">
        <v>62</v>
      </c>
      <c r="K56" s="4">
        <v>1400</v>
      </c>
      <c r="L56" s="4">
        <v>1400</v>
      </c>
      <c r="M56" s="4">
        <f t="shared" si="0"/>
        <v>0</v>
      </c>
      <c r="N56" s="4">
        <v>1354</v>
      </c>
      <c r="O56" s="4">
        <f t="shared" si="1"/>
        <v>1895600</v>
      </c>
      <c r="P56" s="4">
        <f t="shared" si="2"/>
        <v>0</v>
      </c>
      <c r="Q56" t="str">
        <f>IF(M56&lt;=0,"Cobrada",IF(L56&gt;0,"Parcial",IF(C56&lt;Resumen!$B$3,"Vencida",IF(C56&lt;=Resumen!$B$3+15,"Por vencer","Pendiente"))))</f>
        <v>Cobrada</v>
      </c>
      <c r="R56" s="5">
        <f>IF(M56&lt;=0,MAX(0,D56-C56),MAX(0,Resumen!$B$3-C56))</f>
        <v>0</v>
      </c>
      <c r="S56" t="str">
        <f>IF(M56&lt;=0,"Sin prioridad",IF(R56&gt;60,"Alta",IF(R56&gt;30,"Media",IF(C56&lt;=Resumen!$B$3+15,"Media","Baja"))))</f>
        <v>Sin prioridad</v>
      </c>
      <c r="T56" t="s">
        <v>73</v>
      </c>
      <c r="U56" t="s">
        <v>64</v>
      </c>
      <c r="V56" t="s">
        <v>74</v>
      </c>
      <c r="W56" s="3">
        <f t="shared" si="3"/>
        <v>45931</v>
      </c>
      <c r="X56" s="3">
        <f t="shared" si="4"/>
        <v>45962</v>
      </c>
      <c r="Y56" t="s">
        <v>167</v>
      </c>
      <c r="Z56" t="str">
        <f>IF(AND(M56&gt;0,C56&lt;Resumen!$B$3),"Sí","No")</f>
        <v>No</v>
      </c>
      <c r="AA56" t="str">
        <f t="shared" si="5"/>
        <v>No</v>
      </c>
      <c r="AB56" t="str">
        <f t="shared" si="6"/>
        <v>Sí</v>
      </c>
    </row>
    <row r="57" spans="1:28">
      <c r="A57" t="s">
        <v>174</v>
      </c>
      <c r="B57" s="3">
        <v>45942</v>
      </c>
      <c r="C57" s="3">
        <v>45987</v>
      </c>
      <c r="D57" s="3">
        <v>46017</v>
      </c>
      <c r="E57" t="s">
        <v>120</v>
      </c>
      <c r="F57" t="s">
        <v>14</v>
      </c>
      <c r="G57" t="s">
        <v>59</v>
      </c>
      <c r="H57" t="s">
        <v>70</v>
      </c>
      <c r="I57" t="s">
        <v>71</v>
      </c>
      <c r="J57" t="s">
        <v>72</v>
      </c>
      <c r="K57" s="4">
        <v>435000</v>
      </c>
      <c r="L57" s="4">
        <v>435000</v>
      </c>
      <c r="M57" s="4">
        <f t="shared" si="0"/>
        <v>0</v>
      </c>
      <c r="N57" s="4">
        <v>1354</v>
      </c>
      <c r="O57" s="4">
        <f t="shared" si="1"/>
        <v>435000</v>
      </c>
      <c r="P57" s="4">
        <f t="shared" si="2"/>
        <v>0</v>
      </c>
      <c r="Q57" t="str">
        <f>IF(M57&lt;=0,"Cobrada",IF(L57&gt;0,"Parcial",IF(C57&lt;Resumen!$B$3,"Vencida",IF(C57&lt;=Resumen!$B$3+15,"Por vencer","Pendiente"))))</f>
        <v>Cobrada</v>
      </c>
      <c r="R57" s="5">
        <f>IF(M57&lt;=0,MAX(0,D57-C57),MAX(0,Resumen!$B$3-C57))</f>
        <v>30</v>
      </c>
      <c r="S57" t="str">
        <f>IF(M57&lt;=0,"Sin prioridad",IF(R57&gt;60,"Alta",IF(R57&gt;30,"Media",IF(C57&lt;=Resumen!$B$3+15,"Media","Baja"))))</f>
        <v>Sin prioridad</v>
      </c>
      <c r="T57" t="s">
        <v>63</v>
      </c>
      <c r="U57" t="s">
        <v>64</v>
      </c>
      <c r="V57" t="s">
        <v>78</v>
      </c>
      <c r="W57" s="3">
        <f t="shared" si="3"/>
        <v>45931</v>
      </c>
      <c r="X57" s="3">
        <f t="shared" si="4"/>
        <v>45962</v>
      </c>
      <c r="Y57" t="s">
        <v>167</v>
      </c>
      <c r="Z57" t="str">
        <f>IF(AND(M57&gt;0,C57&lt;Resumen!$B$3),"Sí","No")</f>
        <v>No</v>
      </c>
      <c r="AA57" t="str">
        <f t="shared" si="5"/>
        <v>No</v>
      </c>
      <c r="AB57" t="str">
        <f t="shared" si="6"/>
        <v>No</v>
      </c>
    </row>
    <row r="58" spans="1:28">
      <c r="A58" t="s">
        <v>175</v>
      </c>
      <c r="B58" s="3">
        <v>45942</v>
      </c>
      <c r="C58" s="3">
        <v>45957</v>
      </c>
      <c r="D58" s="3">
        <v>45969</v>
      </c>
      <c r="E58" t="s">
        <v>85</v>
      </c>
      <c r="F58" t="s">
        <v>86</v>
      </c>
      <c r="G58" t="s">
        <v>59</v>
      </c>
      <c r="H58" t="s">
        <v>60</v>
      </c>
      <c r="I58" t="s">
        <v>61</v>
      </c>
      <c r="J58" t="s">
        <v>72</v>
      </c>
      <c r="K58" s="4">
        <v>746000</v>
      </c>
      <c r="L58" s="4">
        <v>746000</v>
      </c>
      <c r="M58" s="4">
        <f t="shared" si="0"/>
        <v>0</v>
      </c>
      <c r="N58" s="4">
        <v>1354</v>
      </c>
      <c r="O58" s="4">
        <f t="shared" si="1"/>
        <v>746000</v>
      </c>
      <c r="P58" s="4">
        <f t="shared" si="2"/>
        <v>0</v>
      </c>
      <c r="Q58" t="str">
        <f>IF(M58&lt;=0,"Cobrada",IF(L58&gt;0,"Parcial",IF(C58&lt;Resumen!$B$3,"Vencida",IF(C58&lt;=Resumen!$B$3+15,"Por vencer","Pendiente"))))</f>
        <v>Cobrada</v>
      </c>
      <c r="R58" s="5">
        <f>IF(M58&lt;=0,MAX(0,D58-C58),MAX(0,Resumen!$B$3-C58))</f>
        <v>12</v>
      </c>
      <c r="S58" t="str">
        <f>IF(M58&lt;=0,"Sin prioridad",IF(R58&gt;60,"Alta",IF(R58&gt;30,"Media",IF(C58&lt;=Resumen!$B$3+15,"Media","Baja"))))</f>
        <v>Sin prioridad</v>
      </c>
      <c r="T58" t="s">
        <v>87</v>
      </c>
      <c r="U58" t="s">
        <v>64</v>
      </c>
      <c r="V58" t="s">
        <v>78</v>
      </c>
      <c r="W58" s="3">
        <f t="shared" si="3"/>
        <v>45931</v>
      </c>
      <c r="X58" s="3">
        <f t="shared" si="4"/>
        <v>45931</v>
      </c>
      <c r="Y58" t="s">
        <v>167</v>
      </c>
      <c r="Z58" t="str">
        <f>IF(AND(M58&gt;0,C58&lt;Resumen!$B$3),"Sí","No")</f>
        <v>No</v>
      </c>
      <c r="AA58" t="str">
        <f t="shared" si="5"/>
        <v>No</v>
      </c>
      <c r="AB58" t="str">
        <f t="shared" si="6"/>
        <v>No</v>
      </c>
    </row>
    <row r="59" spans="1:28">
      <c r="A59" t="s">
        <v>176</v>
      </c>
      <c r="B59" s="3">
        <v>45935</v>
      </c>
      <c r="C59" s="3">
        <v>45965</v>
      </c>
      <c r="D59" s="3">
        <v>45969</v>
      </c>
      <c r="E59" t="s">
        <v>132</v>
      </c>
      <c r="F59" t="s">
        <v>133</v>
      </c>
      <c r="G59" t="s">
        <v>59</v>
      </c>
      <c r="H59" t="s">
        <v>70</v>
      </c>
      <c r="I59" t="s">
        <v>71</v>
      </c>
      <c r="J59" t="s">
        <v>72</v>
      </c>
      <c r="K59" s="4">
        <v>630000</v>
      </c>
      <c r="L59" s="4">
        <v>630000</v>
      </c>
      <c r="M59" s="4">
        <f t="shared" si="0"/>
        <v>0</v>
      </c>
      <c r="N59" s="4">
        <v>1354</v>
      </c>
      <c r="O59" s="4">
        <f t="shared" si="1"/>
        <v>630000</v>
      </c>
      <c r="P59" s="4">
        <f t="shared" si="2"/>
        <v>0</v>
      </c>
      <c r="Q59" t="str">
        <f>IF(M59&lt;=0,"Cobrada",IF(L59&gt;0,"Parcial",IF(C59&lt;Resumen!$B$3,"Vencida",IF(C59&lt;=Resumen!$B$3+15,"Por vencer","Pendiente"))))</f>
        <v>Cobrada</v>
      </c>
      <c r="R59" s="5">
        <f>IF(M59&lt;=0,MAX(0,D59-C59),MAX(0,Resumen!$B$3-C59))</f>
        <v>4</v>
      </c>
      <c r="S59" t="str">
        <f>IF(M59&lt;=0,"Sin prioridad",IF(R59&gt;60,"Alta",IF(R59&gt;30,"Media",IF(C59&lt;=Resumen!$B$3+15,"Media","Baja"))))</f>
        <v>Sin prioridad</v>
      </c>
      <c r="T59" t="s">
        <v>73</v>
      </c>
      <c r="U59" t="s">
        <v>64</v>
      </c>
      <c r="V59" t="s">
        <v>74</v>
      </c>
      <c r="W59" s="3">
        <f t="shared" si="3"/>
        <v>45931</v>
      </c>
      <c r="X59" s="3">
        <f t="shared" si="4"/>
        <v>45962</v>
      </c>
      <c r="Y59" t="s">
        <v>167</v>
      </c>
      <c r="Z59" t="str">
        <f>IF(AND(M59&gt;0,C59&lt;Resumen!$B$3),"Sí","No")</f>
        <v>No</v>
      </c>
      <c r="AA59" t="str">
        <f t="shared" si="5"/>
        <v>No</v>
      </c>
      <c r="AB59" t="str">
        <f t="shared" si="6"/>
        <v>No</v>
      </c>
    </row>
    <row r="60" spans="1:28">
      <c r="A60" t="s">
        <v>177</v>
      </c>
      <c r="B60" s="3">
        <v>45957</v>
      </c>
      <c r="C60" s="3">
        <v>46002</v>
      </c>
      <c r="D60" s="3"/>
      <c r="E60" t="s">
        <v>178</v>
      </c>
      <c r="F60" t="s">
        <v>23</v>
      </c>
      <c r="G60" t="s">
        <v>59</v>
      </c>
      <c r="H60" t="s">
        <v>70</v>
      </c>
      <c r="I60" t="s">
        <v>71</v>
      </c>
      <c r="J60" t="s">
        <v>72</v>
      </c>
      <c r="K60" s="4">
        <v>776000</v>
      </c>
      <c r="L60" s="4">
        <v>0</v>
      </c>
      <c r="M60" s="4">
        <f t="shared" si="0"/>
        <v>776000</v>
      </c>
      <c r="N60" s="4">
        <v>1354</v>
      </c>
      <c r="O60" s="4">
        <f t="shared" si="1"/>
        <v>776000</v>
      </c>
      <c r="P60" s="4">
        <f t="shared" si="2"/>
        <v>776000</v>
      </c>
      <c r="Q60" t="str">
        <f>IF(M60&lt;=0,"Cobrada",IF(L60&gt;0,"Parcial",IF(C60&lt;Resumen!$B$3,"Vencida",IF(C60&lt;=Resumen!$B$3+15,"Por vencer","Pendiente"))))</f>
        <v>Vencida</v>
      </c>
      <c r="R60" s="5">
        <f>IF(M60&lt;=0,MAX(0,D60-C60),MAX(0,Resumen!$B$3-C60))</f>
        <v>202</v>
      </c>
      <c r="S60" t="str">
        <f>IF(M60&lt;=0,"Sin prioridad",IF(R60&gt;60,"Alta",IF(R60&gt;30,"Media",IF(C60&lt;=Resumen!$B$3+15,"Media","Baja"))))</f>
        <v>Alta</v>
      </c>
      <c r="T60" t="s">
        <v>87</v>
      </c>
      <c r="U60" t="s">
        <v>179</v>
      </c>
      <c r="V60" t="s">
        <v>74</v>
      </c>
      <c r="W60" s="3">
        <f t="shared" si="3"/>
        <v>45931</v>
      </c>
      <c r="X60" s="3">
        <f t="shared" si="4"/>
        <v>45992</v>
      </c>
      <c r="Y60" t="s">
        <v>167</v>
      </c>
      <c r="Z60" t="str">
        <f>IF(AND(M60&gt;0,C60&lt;Resumen!$B$3),"Sí","No")</f>
        <v>Sí</v>
      </c>
      <c r="AA60" t="str">
        <f t="shared" si="5"/>
        <v>No</v>
      </c>
      <c r="AB60" t="str">
        <f t="shared" si="6"/>
        <v>No</v>
      </c>
    </row>
    <row r="61" spans="1:28">
      <c r="A61" t="s">
        <v>180</v>
      </c>
      <c r="B61" s="3">
        <v>45952</v>
      </c>
      <c r="C61" s="3">
        <v>45967</v>
      </c>
      <c r="D61" s="3">
        <v>45972</v>
      </c>
      <c r="E61" t="s">
        <v>162</v>
      </c>
      <c r="F61" t="s">
        <v>163</v>
      </c>
      <c r="G61" t="s">
        <v>59</v>
      </c>
      <c r="H61" t="s">
        <v>140</v>
      </c>
      <c r="I61" t="s">
        <v>141</v>
      </c>
      <c r="J61" t="s">
        <v>62</v>
      </c>
      <c r="K61" s="4">
        <v>550</v>
      </c>
      <c r="L61" s="4">
        <v>550</v>
      </c>
      <c r="M61" s="4">
        <f t="shared" si="0"/>
        <v>0</v>
      </c>
      <c r="N61" s="4">
        <v>1354</v>
      </c>
      <c r="O61" s="4">
        <f t="shared" si="1"/>
        <v>744700</v>
      </c>
      <c r="P61" s="4">
        <f t="shared" si="2"/>
        <v>0</v>
      </c>
      <c r="Q61" t="str">
        <f>IF(M61&lt;=0,"Cobrada",IF(L61&gt;0,"Parcial",IF(C61&lt;Resumen!$B$3,"Vencida",IF(C61&lt;=Resumen!$B$3+15,"Por vencer","Pendiente"))))</f>
        <v>Cobrada</v>
      </c>
      <c r="R61" s="5">
        <f>IF(M61&lt;=0,MAX(0,D61-C61),MAX(0,Resumen!$B$3-C61))</f>
        <v>5</v>
      </c>
      <c r="S61" t="str">
        <f>IF(M61&lt;=0,"Sin prioridad",IF(R61&gt;60,"Alta",IF(R61&gt;30,"Media",IF(C61&lt;=Resumen!$B$3+15,"Media","Baja"))))</f>
        <v>Sin prioridad</v>
      </c>
      <c r="T61" t="s">
        <v>83</v>
      </c>
      <c r="U61" t="s">
        <v>64</v>
      </c>
      <c r="W61" s="3">
        <f t="shared" si="3"/>
        <v>45931</v>
      </c>
      <c r="X61" s="3">
        <f t="shared" si="4"/>
        <v>45962</v>
      </c>
      <c r="Y61" t="s">
        <v>167</v>
      </c>
      <c r="Z61" t="str">
        <f>IF(AND(M61&gt;0,C61&lt;Resumen!$B$3),"Sí","No")</f>
        <v>No</v>
      </c>
      <c r="AA61" t="str">
        <f t="shared" si="5"/>
        <v>No</v>
      </c>
      <c r="AB61" t="str">
        <f t="shared" si="6"/>
        <v>Sí</v>
      </c>
    </row>
    <row r="62" spans="1:28">
      <c r="A62" t="s">
        <v>181</v>
      </c>
      <c r="B62" s="3">
        <v>45952</v>
      </c>
      <c r="C62" s="3">
        <v>45967</v>
      </c>
      <c r="D62" s="3"/>
      <c r="E62" t="s">
        <v>171</v>
      </c>
      <c r="F62" t="s">
        <v>21</v>
      </c>
      <c r="G62" t="s">
        <v>59</v>
      </c>
      <c r="H62" t="s">
        <v>140</v>
      </c>
      <c r="I62" t="s">
        <v>141</v>
      </c>
      <c r="J62" t="s">
        <v>62</v>
      </c>
      <c r="K62" s="4">
        <v>1000</v>
      </c>
      <c r="L62" s="4">
        <v>0</v>
      </c>
      <c r="M62" s="4">
        <f t="shared" si="0"/>
        <v>1000</v>
      </c>
      <c r="N62" s="4">
        <v>1354</v>
      </c>
      <c r="O62" s="4">
        <f t="shared" si="1"/>
        <v>1354000</v>
      </c>
      <c r="P62" s="4">
        <f t="shared" si="2"/>
        <v>1354000</v>
      </c>
      <c r="Q62" t="str">
        <f>IF(M62&lt;=0,"Cobrada",IF(L62&gt;0,"Parcial",IF(C62&lt;Resumen!$B$3,"Vencida",IF(C62&lt;=Resumen!$B$3+15,"Por vencer","Pendiente"))))</f>
        <v>Vencida</v>
      </c>
      <c r="R62" s="5">
        <f>IF(M62&lt;=0,MAX(0,D62-C62),MAX(0,Resumen!$B$3-C62))</f>
        <v>237</v>
      </c>
      <c r="S62" t="str">
        <f>IF(M62&lt;=0,"Sin prioridad",IF(R62&gt;60,"Alta",IF(R62&gt;30,"Media",IF(C62&lt;=Resumen!$B$3+15,"Media","Baja"))))</f>
        <v>Alta</v>
      </c>
      <c r="T62" t="s">
        <v>87</v>
      </c>
      <c r="U62" t="s">
        <v>91</v>
      </c>
      <c r="W62" s="3">
        <f t="shared" si="3"/>
        <v>45931</v>
      </c>
      <c r="X62" s="3">
        <f t="shared" si="4"/>
        <v>45962</v>
      </c>
      <c r="Y62" t="s">
        <v>167</v>
      </c>
      <c r="Z62" t="str">
        <f>IF(AND(M62&gt;0,C62&lt;Resumen!$B$3),"Sí","No")</f>
        <v>Sí</v>
      </c>
      <c r="AA62" t="str">
        <f t="shared" si="5"/>
        <v>No</v>
      </c>
      <c r="AB62" t="str">
        <f t="shared" si="6"/>
        <v>Sí</v>
      </c>
    </row>
    <row r="63" spans="1:28">
      <c r="A63" t="s">
        <v>182</v>
      </c>
      <c r="B63" s="3">
        <v>45938</v>
      </c>
      <c r="C63" s="3">
        <v>45968</v>
      </c>
      <c r="D63" s="3">
        <v>45984</v>
      </c>
      <c r="E63" t="s">
        <v>118</v>
      </c>
      <c r="F63" t="s">
        <v>22</v>
      </c>
      <c r="G63" t="s">
        <v>59</v>
      </c>
      <c r="H63" t="s">
        <v>140</v>
      </c>
      <c r="I63" t="s">
        <v>141</v>
      </c>
      <c r="J63" t="s">
        <v>62</v>
      </c>
      <c r="K63" s="4">
        <v>1050</v>
      </c>
      <c r="L63" s="4">
        <v>380.57</v>
      </c>
      <c r="M63" s="4">
        <f t="shared" si="0"/>
        <v>669.43000000000006</v>
      </c>
      <c r="N63" s="4">
        <v>1354</v>
      </c>
      <c r="O63" s="4">
        <f t="shared" si="1"/>
        <v>1421700</v>
      </c>
      <c r="P63" s="4">
        <f t="shared" si="2"/>
        <v>906408.22000000009</v>
      </c>
      <c r="Q63" t="str">
        <f>IF(M63&lt;=0,"Cobrada",IF(L63&gt;0,"Parcial",IF(C63&lt;Resumen!$B$3,"Vencida",IF(C63&lt;=Resumen!$B$3+15,"Por vencer","Pendiente"))))</f>
        <v>Parcial</v>
      </c>
      <c r="R63" s="5">
        <f>IF(M63&lt;=0,MAX(0,D63-C63),MAX(0,Resumen!$B$3-C63))</f>
        <v>236</v>
      </c>
      <c r="S63" t="str">
        <f>IF(M63&lt;=0,"Sin prioridad",IF(R63&gt;60,"Alta",IF(R63&gt;30,"Media",IF(C63&lt;=Resumen!$B$3+15,"Media","Baja"))))</f>
        <v>Alta</v>
      </c>
      <c r="T63" t="s">
        <v>87</v>
      </c>
      <c r="U63" t="s">
        <v>105</v>
      </c>
      <c r="V63" t="s">
        <v>74</v>
      </c>
      <c r="W63" s="3">
        <f t="shared" si="3"/>
        <v>45931</v>
      </c>
      <c r="X63" s="3">
        <f t="shared" si="4"/>
        <v>45962</v>
      </c>
      <c r="Y63" t="s">
        <v>167</v>
      </c>
      <c r="Z63" t="str">
        <f>IF(AND(M63&gt;0,C63&lt;Resumen!$B$3),"Sí","No")</f>
        <v>Sí</v>
      </c>
      <c r="AA63" t="str">
        <f t="shared" si="5"/>
        <v>Sí</v>
      </c>
      <c r="AB63" t="str">
        <f t="shared" si="6"/>
        <v>Sí</v>
      </c>
    </row>
    <row r="64" spans="1:28">
      <c r="A64" t="s">
        <v>183</v>
      </c>
      <c r="B64" s="3">
        <v>45954</v>
      </c>
      <c r="C64" s="3">
        <v>45984</v>
      </c>
      <c r="D64" s="3"/>
      <c r="E64" t="s">
        <v>100</v>
      </c>
      <c r="F64" t="s">
        <v>101</v>
      </c>
      <c r="G64" t="s">
        <v>59</v>
      </c>
      <c r="H64" t="s">
        <v>70</v>
      </c>
      <c r="I64" t="s">
        <v>71</v>
      </c>
      <c r="J64" t="s">
        <v>72</v>
      </c>
      <c r="K64" s="4">
        <v>591000</v>
      </c>
      <c r="L64" s="4">
        <v>0</v>
      </c>
      <c r="M64" s="4">
        <f t="shared" si="0"/>
        <v>591000</v>
      </c>
      <c r="N64" s="4">
        <v>1354</v>
      </c>
      <c r="O64" s="4">
        <f t="shared" si="1"/>
        <v>591000</v>
      </c>
      <c r="P64" s="4">
        <f t="shared" si="2"/>
        <v>591000</v>
      </c>
      <c r="Q64" t="str">
        <f>IF(M64&lt;=0,"Cobrada",IF(L64&gt;0,"Parcial",IF(C64&lt;Resumen!$B$3,"Vencida",IF(C64&lt;=Resumen!$B$3+15,"Por vencer","Pendiente"))))</f>
        <v>Vencida</v>
      </c>
      <c r="R64" s="5">
        <f>IF(M64&lt;=0,MAX(0,D64-C64),MAX(0,Resumen!$B$3-C64))</f>
        <v>220</v>
      </c>
      <c r="S64" t="str">
        <f>IF(M64&lt;=0,"Sin prioridad",IF(R64&gt;60,"Alta",IF(R64&gt;30,"Media",IF(C64&lt;=Resumen!$B$3+15,"Media","Baja"))))</f>
        <v>Alta</v>
      </c>
      <c r="T64" t="s">
        <v>87</v>
      </c>
      <c r="U64" t="s">
        <v>179</v>
      </c>
      <c r="V64" t="s">
        <v>80</v>
      </c>
      <c r="W64" s="3">
        <f t="shared" si="3"/>
        <v>45931</v>
      </c>
      <c r="X64" s="3">
        <f t="shared" si="4"/>
        <v>45962</v>
      </c>
      <c r="Y64" t="s">
        <v>167</v>
      </c>
      <c r="Z64" t="str">
        <f>IF(AND(M64&gt;0,C64&lt;Resumen!$B$3),"Sí","No")</f>
        <v>Sí</v>
      </c>
      <c r="AA64" t="str">
        <f t="shared" si="5"/>
        <v>No</v>
      </c>
      <c r="AB64" t="str">
        <f t="shared" si="6"/>
        <v>No</v>
      </c>
    </row>
    <row r="65" spans="1:28">
      <c r="A65" t="s">
        <v>184</v>
      </c>
      <c r="B65" s="3">
        <v>45940</v>
      </c>
      <c r="C65" s="3">
        <v>45955</v>
      </c>
      <c r="D65" s="3">
        <v>45974</v>
      </c>
      <c r="E65" t="s">
        <v>185</v>
      </c>
      <c r="F65" t="s">
        <v>186</v>
      </c>
      <c r="G65" t="s">
        <v>59</v>
      </c>
      <c r="H65" t="s">
        <v>70</v>
      </c>
      <c r="I65" t="s">
        <v>71</v>
      </c>
      <c r="J65" t="s">
        <v>72</v>
      </c>
      <c r="K65" s="4">
        <v>388000</v>
      </c>
      <c r="L65" s="4">
        <v>154883.98000000001</v>
      </c>
      <c r="M65" s="4">
        <f t="shared" si="0"/>
        <v>233116.02</v>
      </c>
      <c r="N65" s="4">
        <v>1354</v>
      </c>
      <c r="O65" s="4">
        <f t="shared" si="1"/>
        <v>388000</v>
      </c>
      <c r="P65" s="4">
        <f t="shared" si="2"/>
        <v>233116.02</v>
      </c>
      <c r="Q65" t="str">
        <f>IF(M65&lt;=0,"Cobrada",IF(L65&gt;0,"Parcial",IF(C65&lt;Resumen!$B$3,"Vencida",IF(C65&lt;=Resumen!$B$3+15,"Por vencer","Pendiente"))))</f>
        <v>Parcial</v>
      </c>
      <c r="R65" s="5">
        <f>IF(M65&lt;=0,MAX(0,D65-C65),MAX(0,Resumen!$B$3-C65))</f>
        <v>249</v>
      </c>
      <c r="S65" t="str">
        <f>IF(M65&lt;=0,"Sin prioridad",IF(R65&gt;60,"Alta",IF(R65&gt;30,"Media",IF(C65&lt;=Resumen!$B$3+15,"Media","Baja"))))</f>
        <v>Alta</v>
      </c>
      <c r="T65" t="s">
        <v>63</v>
      </c>
      <c r="U65" t="s">
        <v>105</v>
      </c>
      <c r="V65" t="s">
        <v>65</v>
      </c>
      <c r="W65" s="3">
        <f t="shared" si="3"/>
        <v>45931</v>
      </c>
      <c r="X65" s="3">
        <f t="shared" si="4"/>
        <v>45931</v>
      </c>
      <c r="Y65" t="s">
        <v>167</v>
      </c>
      <c r="Z65" t="str">
        <f>IF(AND(M65&gt;0,C65&lt;Resumen!$B$3),"Sí","No")</f>
        <v>Sí</v>
      </c>
      <c r="AA65" t="str">
        <f t="shared" si="5"/>
        <v>Sí</v>
      </c>
      <c r="AB65" t="str">
        <f t="shared" si="6"/>
        <v>No</v>
      </c>
    </row>
    <row r="66" spans="1:28">
      <c r="A66" t="s">
        <v>187</v>
      </c>
      <c r="B66" s="3">
        <v>45937</v>
      </c>
      <c r="C66" s="3">
        <v>45982</v>
      </c>
      <c r="D66" s="3"/>
      <c r="E66" t="s">
        <v>120</v>
      </c>
      <c r="F66" t="s">
        <v>14</v>
      </c>
      <c r="G66" t="s">
        <v>59</v>
      </c>
      <c r="H66" t="s">
        <v>60</v>
      </c>
      <c r="I66" t="s">
        <v>61</v>
      </c>
      <c r="J66" t="s">
        <v>72</v>
      </c>
      <c r="K66" s="4">
        <v>458000</v>
      </c>
      <c r="L66" s="4">
        <v>0</v>
      </c>
      <c r="M66" s="4">
        <f t="shared" ref="M66:M129" si="7">K66-L66</f>
        <v>458000</v>
      </c>
      <c r="N66" s="4">
        <v>1354</v>
      </c>
      <c r="O66" s="4">
        <f t="shared" ref="O66:O129" si="8">IF(J66="USD",K66*N66,K66)</f>
        <v>458000</v>
      </c>
      <c r="P66" s="4">
        <f t="shared" ref="P66:P129" si="9">IF(J66="USD",M66*N66,M66)</f>
        <v>458000</v>
      </c>
      <c r="Q66" t="str">
        <f>IF(M66&lt;=0,"Cobrada",IF(L66&gt;0,"Parcial",IF(C66&lt;Resumen!$B$3,"Vencida",IF(C66&lt;=Resumen!$B$3+15,"Por vencer","Pendiente"))))</f>
        <v>Vencida</v>
      </c>
      <c r="R66" s="5">
        <f>IF(M66&lt;=0,MAX(0,D66-C66),MAX(0,Resumen!$B$3-C66))</f>
        <v>222</v>
      </c>
      <c r="S66" t="str">
        <f>IF(M66&lt;=0,"Sin prioridad",IF(R66&gt;60,"Alta",IF(R66&gt;30,"Media",IF(C66&lt;=Resumen!$B$3+15,"Media","Baja"))))</f>
        <v>Alta</v>
      </c>
      <c r="T66" t="s">
        <v>63</v>
      </c>
      <c r="U66" t="s">
        <v>91</v>
      </c>
      <c r="V66" t="s">
        <v>74</v>
      </c>
      <c r="W66" s="3">
        <f t="shared" ref="W66:W129" si="10">DATE(YEAR(B66),MONTH(B66),1)</f>
        <v>45931</v>
      </c>
      <c r="X66" s="3">
        <f t="shared" ref="X66:X129" si="11">DATE(YEAR(C66),MONTH(C66),1)</f>
        <v>45962</v>
      </c>
      <c r="Y66" t="s">
        <v>167</v>
      </c>
      <c r="Z66" t="str">
        <f>IF(AND(M66&gt;0,C66&lt;Resumen!$B$3),"Sí","No")</f>
        <v>Sí</v>
      </c>
      <c r="AA66" t="str">
        <f t="shared" ref="AA66:AA129" si="12">IF(AND(L66&gt;0,M66&gt;0),"Sí","No")</f>
        <v>No</v>
      </c>
      <c r="AB66" t="str">
        <f t="shared" ref="AB66:AB129" si="13">IF(J66="USD","Sí","No")</f>
        <v>No</v>
      </c>
    </row>
    <row r="67" spans="1:28">
      <c r="A67" t="s">
        <v>188</v>
      </c>
      <c r="B67" s="3">
        <v>45938</v>
      </c>
      <c r="C67" s="3">
        <v>45983</v>
      </c>
      <c r="D67" s="3">
        <v>46017</v>
      </c>
      <c r="E67" t="s">
        <v>120</v>
      </c>
      <c r="F67" t="s">
        <v>14</v>
      </c>
      <c r="G67" t="s">
        <v>59</v>
      </c>
      <c r="H67" t="s">
        <v>70</v>
      </c>
      <c r="I67" t="s">
        <v>71</v>
      </c>
      <c r="J67" t="s">
        <v>72</v>
      </c>
      <c r="K67" s="4">
        <v>406000</v>
      </c>
      <c r="L67" s="4">
        <v>176121.31</v>
      </c>
      <c r="M67" s="4">
        <f t="shared" si="7"/>
        <v>229878.69</v>
      </c>
      <c r="N67" s="4">
        <v>1354</v>
      </c>
      <c r="O67" s="4">
        <f t="shared" si="8"/>
        <v>406000</v>
      </c>
      <c r="P67" s="4">
        <f t="shared" si="9"/>
        <v>229878.69</v>
      </c>
      <c r="Q67" t="str">
        <f>IF(M67&lt;=0,"Cobrada",IF(L67&gt;0,"Parcial",IF(C67&lt;Resumen!$B$3,"Vencida",IF(C67&lt;=Resumen!$B$3+15,"Por vencer","Pendiente"))))</f>
        <v>Parcial</v>
      </c>
      <c r="R67" s="5">
        <f>IF(M67&lt;=0,MAX(0,D67-C67),MAX(0,Resumen!$B$3-C67))</f>
        <v>221</v>
      </c>
      <c r="S67" t="str">
        <f>IF(M67&lt;=0,"Sin prioridad",IF(R67&gt;60,"Alta",IF(R67&gt;30,"Media",IF(C67&lt;=Resumen!$B$3+15,"Media","Baja"))))</f>
        <v>Alta</v>
      </c>
      <c r="T67" t="s">
        <v>63</v>
      </c>
      <c r="U67" t="s">
        <v>105</v>
      </c>
      <c r="V67" t="s">
        <v>65</v>
      </c>
      <c r="W67" s="3">
        <f t="shared" si="10"/>
        <v>45931</v>
      </c>
      <c r="X67" s="3">
        <f t="shared" si="11"/>
        <v>45962</v>
      </c>
      <c r="Y67" t="s">
        <v>167</v>
      </c>
      <c r="Z67" t="str">
        <f>IF(AND(M67&gt;0,C67&lt;Resumen!$B$3),"Sí","No")</f>
        <v>Sí</v>
      </c>
      <c r="AA67" t="str">
        <f t="shared" si="12"/>
        <v>Sí</v>
      </c>
      <c r="AB67" t="str">
        <f t="shared" si="13"/>
        <v>No</v>
      </c>
    </row>
    <row r="68" spans="1:28">
      <c r="A68" t="s">
        <v>189</v>
      </c>
      <c r="B68" s="3">
        <v>45949</v>
      </c>
      <c r="C68" s="3">
        <v>45964</v>
      </c>
      <c r="D68" s="3">
        <v>45980</v>
      </c>
      <c r="E68" t="s">
        <v>68</v>
      </c>
      <c r="F68" t="s">
        <v>69</v>
      </c>
      <c r="G68" t="s">
        <v>59</v>
      </c>
      <c r="H68" t="s">
        <v>110</v>
      </c>
      <c r="I68" t="s">
        <v>111</v>
      </c>
      <c r="J68" t="s">
        <v>72</v>
      </c>
      <c r="K68" s="4">
        <v>1197000</v>
      </c>
      <c r="L68" s="4">
        <v>1197000</v>
      </c>
      <c r="M68" s="4">
        <f t="shared" si="7"/>
        <v>0</v>
      </c>
      <c r="N68" s="4">
        <v>1354</v>
      </c>
      <c r="O68" s="4">
        <f t="shared" si="8"/>
        <v>1197000</v>
      </c>
      <c r="P68" s="4">
        <f t="shared" si="9"/>
        <v>0</v>
      </c>
      <c r="Q68" t="str">
        <f>IF(M68&lt;=0,"Cobrada",IF(L68&gt;0,"Parcial",IF(C68&lt;Resumen!$B$3,"Vencida",IF(C68&lt;=Resumen!$B$3+15,"Por vencer","Pendiente"))))</f>
        <v>Cobrada</v>
      </c>
      <c r="R68" s="5">
        <f>IF(M68&lt;=0,MAX(0,D68-C68),MAX(0,Resumen!$B$3-C68))</f>
        <v>16</v>
      </c>
      <c r="S68" t="str">
        <f>IF(M68&lt;=0,"Sin prioridad",IF(R68&gt;60,"Alta",IF(R68&gt;30,"Media",IF(C68&lt;=Resumen!$B$3+15,"Media","Baja"))))</f>
        <v>Sin prioridad</v>
      </c>
      <c r="T68" t="s">
        <v>73</v>
      </c>
      <c r="U68" t="s">
        <v>64</v>
      </c>
      <c r="V68" t="s">
        <v>65</v>
      </c>
      <c r="W68" s="3">
        <f t="shared" si="10"/>
        <v>45931</v>
      </c>
      <c r="X68" s="3">
        <f t="shared" si="11"/>
        <v>45962</v>
      </c>
      <c r="Y68" t="s">
        <v>167</v>
      </c>
      <c r="Z68" t="str">
        <f>IF(AND(M68&gt;0,C68&lt;Resumen!$B$3),"Sí","No")</f>
        <v>No</v>
      </c>
      <c r="AA68" t="str">
        <f t="shared" si="12"/>
        <v>No</v>
      </c>
      <c r="AB68" t="str">
        <f t="shared" si="13"/>
        <v>No</v>
      </c>
    </row>
    <row r="69" spans="1:28">
      <c r="A69" t="s">
        <v>190</v>
      </c>
      <c r="B69" s="3">
        <v>45981</v>
      </c>
      <c r="C69" s="3">
        <v>46026</v>
      </c>
      <c r="D69" s="3"/>
      <c r="E69" t="s">
        <v>125</v>
      </c>
      <c r="F69" t="s">
        <v>126</v>
      </c>
      <c r="G69" t="s">
        <v>59</v>
      </c>
      <c r="H69" t="s">
        <v>60</v>
      </c>
      <c r="I69" t="s">
        <v>61</v>
      </c>
      <c r="J69" t="s">
        <v>72</v>
      </c>
      <c r="K69" s="4">
        <v>661000</v>
      </c>
      <c r="L69" s="4">
        <v>0</v>
      </c>
      <c r="M69" s="4">
        <f t="shared" si="7"/>
        <v>661000</v>
      </c>
      <c r="N69" s="4">
        <v>1398</v>
      </c>
      <c r="O69" s="4">
        <f t="shared" si="8"/>
        <v>661000</v>
      </c>
      <c r="P69" s="4">
        <f t="shared" si="9"/>
        <v>661000</v>
      </c>
      <c r="Q69" t="str">
        <f>IF(M69&lt;=0,"Cobrada",IF(L69&gt;0,"Parcial",IF(C69&lt;Resumen!$B$3,"Vencida",IF(C69&lt;=Resumen!$B$3+15,"Por vencer","Pendiente"))))</f>
        <v>Vencida</v>
      </c>
      <c r="R69" s="5">
        <f>IF(M69&lt;=0,MAX(0,D69-C69),MAX(0,Resumen!$B$3-C69))</f>
        <v>178</v>
      </c>
      <c r="S69" t="str">
        <f>IF(M69&lt;=0,"Sin prioridad",IF(R69&gt;60,"Alta",IF(R69&gt;30,"Media",IF(C69&lt;=Resumen!$B$3+15,"Media","Baja"))))</f>
        <v>Alta</v>
      </c>
      <c r="T69" t="s">
        <v>73</v>
      </c>
      <c r="U69" t="s">
        <v>179</v>
      </c>
      <c r="V69" t="s">
        <v>80</v>
      </c>
      <c r="W69" s="3">
        <f t="shared" si="10"/>
        <v>45962</v>
      </c>
      <c r="X69" s="3">
        <f t="shared" si="11"/>
        <v>46023</v>
      </c>
      <c r="Y69" t="s">
        <v>167</v>
      </c>
      <c r="Z69" t="str">
        <f>IF(AND(M69&gt;0,C69&lt;Resumen!$B$3),"Sí","No")</f>
        <v>Sí</v>
      </c>
      <c r="AA69" t="str">
        <f t="shared" si="12"/>
        <v>No</v>
      </c>
      <c r="AB69" t="str">
        <f t="shared" si="13"/>
        <v>No</v>
      </c>
    </row>
    <row r="70" spans="1:28">
      <c r="A70" t="s">
        <v>191</v>
      </c>
      <c r="B70" s="3">
        <v>45974</v>
      </c>
      <c r="C70" s="3">
        <v>46019</v>
      </c>
      <c r="D70" s="3">
        <v>46020</v>
      </c>
      <c r="E70" t="s">
        <v>125</v>
      </c>
      <c r="F70" t="s">
        <v>126</v>
      </c>
      <c r="G70" t="s">
        <v>59</v>
      </c>
      <c r="H70" t="s">
        <v>70</v>
      </c>
      <c r="I70" t="s">
        <v>71</v>
      </c>
      <c r="J70" t="s">
        <v>72</v>
      </c>
      <c r="K70" s="4">
        <v>861000</v>
      </c>
      <c r="L70" s="4">
        <v>861000</v>
      </c>
      <c r="M70" s="4">
        <f t="shared" si="7"/>
        <v>0</v>
      </c>
      <c r="N70" s="4">
        <v>1398</v>
      </c>
      <c r="O70" s="4">
        <f t="shared" si="8"/>
        <v>861000</v>
      </c>
      <c r="P70" s="4">
        <f t="shared" si="9"/>
        <v>0</v>
      </c>
      <c r="Q70" t="str">
        <f>IF(M70&lt;=0,"Cobrada",IF(L70&gt;0,"Parcial",IF(C70&lt;Resumen!$B$3,"Vencida",IF(C70&lt;=Resumen!$B$3+15,"Por vencer","Pendiente"))))</f>
        <v>Cobrada</v>
      </c>
      <c r="R70" s="5">
        <f>IF(M70&lt;=0,MAX(0,D70-C70),MAX(0,Resumen!$B$3-C70))</f>
        <v>1</v>
      </c>
      <c r="S70" t="str">
        <f>IF(M70&lt;=0,"Sin prioridad",IF(R70&gt;60,"Alta",IF(R70&gt;30,"Media",IF(C70&lt;=Resumen!$B$3+15,"Media","Baja"))))</f>
        <v>Sin prioridad</v>
      </c>
      <c r="T70" t="s">
        <v>73</v>
      </c>
      <c r="U70" t="s">
        <v>64</v>
      </c>
      <c r="V70" t="s">
        <v>74</v>
      </c>
      <c r="W70" s="3">
        <f t="shared" si="10"/>
        <v>45962</v>
      </c>
      <c r="X70" s="3">
        <f t="shared" si="11"/>
        <v>45992</v>
      </c>
      <c r="Y70" t="s">
        <v>167</v>
      </c>
      <c r="Z70" t="str">
        <f>IF(AND(M70&gt;0,C70&lt;Resumen!$B$3),"Sí","No")</f>
        <v>No</v>
      </c>
      <c r="AA70" t="str">
        <f t="shared" si="12"/>
        <v>No</v>
      </c>
      <c r="AB70" t="str">
        <f t="shared" si="13"/>
        <v>No</v>
      </c>
    </row>
    <row r="71" spans="1:28">
      <c r="A71" t="s">
        <v>192</v>
      </c>
      <c r="B71" s="3">
        <v>45989</v>
      </c>
      <c r="C71" s="3">
        <v>46034</v>
      </c>
      <c r="D71" s="3"/>
      <c r="E71" t="s">
        <v>178</v>
      </c>
      <c r="F71" t="s">
        <v>23</v>
      </c>
      <c r="G71" t="s">
        <v>59</v>
      </c>
      <c r="H71" t="s">
        <v>60</v>
      </c>
      <c r="I71" t="s">
        <v>61</v>
      </c>
      <c r="J71" t="s">
        <v>72</v>
      </c>
      <c r="K71" s="4">
        <v>447000</v>
      </c>
      <c r="L71" s="4">
        <v>0</v>
      </c>
      <c r="M71" s="4">
        <f t="shared" si="7"/>
        <v>447000</v>
      </c>
      <c r="N71" s="4">
        <v>1398</v>
      </c>
      <c r="O71" s="4">
        <f t="shared" si="8"/>
        <v>447000</v>
      </c>
      <c r="P71" s="4">
        <f t="shared" si="9"/>
        <v>447000</v>
      </c>
      <c r="Q71" t="str">
        <f>IF(M71&lt;=0,"Cobrada",IF(L71&gt;0,"Parcial",IF(C71&lt;Resumen!$B$3,"Vencida",IF(C71&lt;=Resumen!$B$3+15,"Por vencer","Pendiente"))))</f>
        <v>Vencida</v>
      </c>
      <c r="R71" s="5">
        <f>IF(M71&lt;=0,MAX(0,D71-C71),MAX(0,Resumen!$B$3-C71))</f>
        <v>170</v>
      </c>
      <c r="S71" t="str">
        <f>IF(M71&lt;=0,"Sin prioridad",IF(R71&gt;60,"Alta",IF(R71&gt;30,"Media",IF(C71&lt;=Resumen!$B$3+15,"Media","Baja"))))</f>
        <v>Alta</v>
      </c>
      <c r="T71" t="s">
        <v>87</v>
      </c>
      <c r="U71" t="s">
        <v>88</v>
      </c>
      <c r="V71" t="s">
        <v>106</v>
      </c>
      <c r="W71" s="3">
        <f t="shared" si="10"/>
        <v>45962</v>
      </c>
      <c r="X71" s="3">
        <f t="shared" si="11"/>
        <v>46023</v>
      </c>
      <c r="Y71" t="s">
        <v>167</v>
      </c>
      <c r="Z71" t="str">
        <f>IF(AND(M71&gt;0,C71&lt;Resumen!$B$3),"Sí","No")</f>
        <v>Sí</v>
      </c>
      <c r="AA71" t="str">
        <f t="shared" si="12"/>
        <v>No</v>
      </c>
      <c r="AB71" t="str">
        <f t="shared" si="13"/>
        <v>No</v>
      </c>
    </row>
    <row r="72" spans="1:28">
      <c r="A72" t="s">
        <v>193</v>
      </c>
      <c r="B72" s="3">
        <v>45976</v>
      </c>
      <c r="C72" s="3">
        <v>45991</v>
      </c>
      <c r="D72" s="3"/>
      <c r="E72" t="s">
        <v>165</v>
      </c>
      <c r="F72" t="s">
        <v>166</v>
      </c>
      <c r="G72" t="s">
        <v>59</v>
      </c>
      <c r="H72" t="s">
        <v>60</v>
      </c>
      <c r="I72" t="s">
        <v>61</v>
      </c>
      <c r="J72" t="s">
        <v>72</v>
      </c>
      <c r="K72" s="4">
        <v>356000</v>
      </c>
      <c r="L72" s="4">
        <v>0</v>
      </c>
      <c r="M72" s="4">
        <f t="shared" si="7"/>
        <v>356000</v>
      </c>
      <c r="N72" s="4">
        <v>1398</v>
      </c>
      <c r="O72" s="4">
        <f t="shared" si="8"/>
        <v>356000</v>
      </c>
      <c r="P72" s="4">
        <f t="shared" si="9"/>
        <v>356000</v>
      </c>
      <c r="Q72" t="str">
        <f>IF(M72&lt;=0,"Cobrada",IF(L72&gt;0,"Parcial",IF(C72&lt;Resumen!$B$3,"Vencida",IF(C72&lt;=Resumen!$B$3+15,"Por vencer","Pendiente"))))</f>
        <v>Vencida</v>
      </c>
      <c r="R72" s="5">
        <f>IF(M72&lt;=0,MAX(0,D72-C72),MAX(0,Resumen!$B$3-C72))</f>
        <v>213</v>
      </c>
      <c r="S72" t="str">
        <f>IF(M72&lt;=0,"Sin prioridad",IF(R72&gt;60,"Alta",IF(R72&gt;30,"Media",IF(C72&lt;=Resumen!$B$3+15,"Media","Baja"))))</f>
        <v>Alta</v>
      </c>
      <c r="T72" t="s">
        <v>87</v>
      </c>
      <c r="U72" t="s">
        <v>91</v>
      </c>
      <c r="V72" t="s">
        <v>65</v>
      </c>
      <c r="W72" s="3">
        <f t="shared" si="10"/>
        <v>45962</v>
      </c>
      <c r="X72" s="3">
        <f t="shared" si="11"/>
        <v>45962</v>
      </c>
      <c r="Y72" t="s">
        <v>167</v>
      </c>
      <c r="Z72" t="str">
        <f>IF(AND(M72&gt;0,C72&lt;Resumen!$B$3),"Sí","No")</f>
        <v>Sí</v>
      </c>
      <c r="AA72" t="str">
        <f t="shared" si="12"/>
        <v>No</v>
      </c>
      <c r="AB72" t="str">
        <f t="shared" si="13"/>
        <v>No</v>
      </c>
    </row>
    <row r="73" spans="1:28">
      <c r="A73" t="s">
        <v>194</v>
      </c>
      <c r="B73" s="3">
        <v>45974</v>
      </c>
      <c r="C73" s="3">
        <v>46004</v>
      </c>
      <c r="D73" s="3">
        <v>46013</v>
      </c>
      <c r="E73" t="s">
        <v>132</v>
      </c>
      <c r="F73" t="s">
        <v>133</v>
      </c>
      <c r="G73" t="s">
        <v>59</v>
      </c>
      <c r="H73" t="s">
        <v>60</v>
      </c>
      <c r="I73" t="s">
        <v>61</v>
      </c>
      <c r="J73" t="s">
        <v>72</v>
      </c>
      <c r="K73" s="4">
        <v>657000</v>
      </c>
      <c r="L73" s="4">
        <v>452623.92</v>
      </c>
      <c r="M73" s="4">
        <f t="shared" si="7"/>
        <v>204376.08000000002</v>
      </c>
      <c r="N73" s="4">
        <v>1398</v>
      </c>
      <c r="O73" s="4">
        <f t="shared" si="8"/>
        <v>657000</v>
      </c>
      <c r="P73" s="4">
        <f t="shared" si="9"/>
        <v>204376.08000000002</v>
      </c>
      <c r="Q73" t="str">
        <f>IF(M73&lt;=0,"Cobrada",IF(L73&gt;0,"Parcial",IF(C73&lt;Resumen!$B$3,"Vencida",IF(C73&lt;=Resumen!$B$3+15,"Por vencer","Pendiente"))))</f>
        <v>Parcial</v>
      </c>
      <c r="R73" s="5">
        <f>IF(M73&lt;=0,MAX(0,D73-C73),MAX(0,Resumen!$B$3-C73))</f>
        <v>200</v>
      </c>
      <c r="S73" t="str">
        <f>IF(M73&lt;=0,"Sin prioridad",IF(R73&gt;60,"Alta",IF(R73&gt;30,"Media",IF(C73&lt;=Resumen!$B$3+15,"Media","Baja"))))</f>
        <v>Alta</v>
      </c>
      <c r="T73" t="s">
        <v>73</v>
      </c>
      <c r="U73" t="s">
        <v>105</v>
      </c>
      <c r="V73" t="s">
        <v>65</v>
      </c>
      <c r="W73" s="3">
        <f t="shared" si="10"/>
        <v>45962</v>
      </c>
      <c r="X73" s="3">
        <f t="shared" si="11"/>
        <v>45992</v>
      </c>
      <c r="Y73" t="s">
        <v>167</v>
      </c>
      <c r="Z73" t="str">
        <f>IF(AND(M73&gt;0,C73&lt;Resumen!$B$3),"Sí","No")</f>
        <v>Sí</v>
      </c>
      <c r="AA73" t="str">
        <f t="shared" si="12"/>
        <v>Sí</v>
      </c>
      <c r="AB73" t="str">
        <f t="shared" si="13"/>
        <v>No</v>
      </c>
    </row>
    <row r="74" spans="1:28">
      <c r="A74" t="s">
        <v>195</v>
      </c>
      <c r="B74" s="3">
        <v>45967</v>
      </c>
      <c r="C74" s="3">
        <v>46012</v>
      </c>
      <c r="D74" s="3">
        <v>46032</v>
      </c>
      <c r="E74" t="s">
        <v>160</v>
      </c>
      <c r="F74" t="s">
        <v>17</v>
      </c>
      <c r="G74" t="s">
        <v>59</v>
      </c>
      <c r="H74" t="s">
        <v>140</v>
      </c>
      <c r="I74" t="s">
        <v>141</v>
      </c>
      <c r="J74" t="s">
        <v>62</v>
      </c>
      <c r="K74" s="4">
        <v>1150</v>
      </c>
      <c r="L74" s="4">
        <v>780.4</v>
      </c>
      <c r="M74" s="4">
        <f t="shared" si="7"/>
        <v>369.6</v>
      </c>
      <c r="N74" s="4">
        <v>1398</v>
      </c>
      <c r="O74" s="4">
        <f t="shared" si="8"/>
        <v>1607700</v>
      </c>
      <c r="P74" s="4">
        <f t="shared" si="9"/>
        <v>516700.80000000005</v>
      </c>
      <c r="Q74" t="str">
        <f>IF(M74&lt;=0,"Cobrada",IF(L74&gt;0,"Parcial",IF(C74&lt;Resumen!$B$3,"Vencida",IF(C74&lt;=Resumen!$B$3+15,"Por vencer","Pendiente"))))</f>
        <v>Parcial</v>
      </c>
      <c r="R74" s="5">
        <f>IF(M74&lt;=0,MAX(0,D74-C74),MAX(0,Resumen!$B$3-C74))</f>
        <v>192</v>
      </c>
      <c r="S74" t="str">
        <f>IF(M74&lt;=0,"Sin prioridad",IF(R74&gt;60,"Alta",IF(R74&gt;30,"Media",IF(C74&lt;=Resumen!$B$3+15,"Media","Baja"))))</f>
        <v>Alta</v>
      </c>
      <c r="T74" t="s">
        <v>83</v>
      </c>
      <c r="U74" t="s">
        <v>105</v>
      </c>
      <c r="W74" s="3">
        <f t="shared" si="10"/>
        <v>45962</v>
      </c>
      <c r="X74" s="3">
        <f t="shared" si="11"/>
        <v>45992</v>
      </c>
      <c r="Y74" t="s">
        <v>167</v>
      </c>
      <c r="Z74" t="str">
        <f>IF(AND(M74&gt;0,C74&lt;Resumen!$B$3),"Sí","No")</f>
        <v>Sí</v>
      </c>
      <c r="AA74" t="str">
        <f t="shared" si="12"/>
        <v>Sí</v>
      </c>
      <c r="AB74" t="str">
        <f t="shared" si="13"/>
        <v>Sí</v>
      </c>
    </row>
    <row r="75" spans="1:28">
      <c r="A75" t="s">
        <v>196</v>
      </c>
      <c r="B75" s="3">
        <v>45987</v>
      </c>
      <c r="C75" s="3">
        <v>46047</v>
      </c>
      <c r="D75" s="3">
        <v>46090</v>
      </c>
      <c r="E75" t="s">
        <v>93</v>
      </c>
      <c r="F75" t="s">
        <v>19</v>
      </c>
      <c r="G75" t="s">
        <v>59</v>
      </c>
      <c r="H75" t="s">
        <v>140</v>
      </c>
      <c r="I75" t="s">
        <v>141</v>
      </c>
      <c r="J75" t="s">
        <v>62</v>
      </c>
      <c r="K75" s="4">
        <v>1700</v>
      </c>
      <c r="L75" s="4">
        <v>1700</v>
      </c>
      <c r="M75" s="4">
        <f t="shared" si="7"/>
        <v>0</v>
      </c>
      <c r="N75" s="4">
        <v>1398</v>
      </c>
      <c r="O75" s="4">
        <f t="shared" si="8"/>
        <v>2376600</v>
      </c>
      <c r="P75" s="4">
        <f t="shared" si="9"/>
        <v>0</v>
      </c>
      <c r="Q75" t="str">
        <f>IF(M75&lt;=0,"Cobrada",IF(L75&gt;0,"Parcial",IF(C75&lt;Resumen!$B$3,"Vencida",IF(C75&lt;=Resumen!$B$3+15,"Por vencer","Pendiente"))))</f>
        <v>Cobrada</v>
      </c>
      <c r="R75" s="5">
        <f>IF(M75&lt;=0,MAX(0,D75-C75),MAX(0,Resumen!$B$3-C75))</f>
        <v>43</v>
      </c>
      <c r="S75" t="str">
        <f>IF(M75&lt;=0,"Sin prioridad",IF(R75&gt;60,"Alta",IF(R75&gt;30,"Media",IF(C75&lt;=Resumen!$B$3+15,"Media","Baja"))))</f>
        <v>Sin prioridad</v>
      </c>
      <c r="T75" t="s">
        <v>87</v>
      </c>
      <c r="U75" t="s">
        <v>64</v>
      </c>
      <c r="V75" t="s">
        <v>74</v>
      </c>
      <c r="W75" s="3">
        <f t="shared" si="10"/>
        <v>45962</v>
      </c>
      <c r="X75" s="3">
        <f t="shared" si="11"/>
        <v>46023</v>
      </c>
      <c r="Y75" t="s">
        <v>167</v>
      </c>
      <c r="Z75" t="str">
        <f>IF(AND(M75&gt;0,C75&lt;Resumen!$B$3),"Sí","No")</f>
        <v>No</v>
      </c>
      <c r="AA75" t="str">
        <f t="shared" si="12"/>
        <v>No</v>
      </c>
      <c r="AB75" t="str">
        <f t="shared" si="13"/>
        <v>Sí</v>
      </c>
    </row>
    <row r="76" spans="1:28">
      <c r="A76" t="s">
        <v>197</v>
      </c>
      <c r="B76" s="3">
        <v>45969</v>
      </c>
      <c r="C76" s="3">
        <v>46014</v>
      </c>
      <c r="D76" s="3">
        <v>46092</v>
      </c>
      <c r="E76" t="s">
        <v>104</v>
      </c>
      <c r="F76" t="s">
        <v>28</v>
      </c>
      <c r="G76" t="s">
        <v>59</v>
      </c>
      <c r="H76" t="s">
        <v>70</v>
      </c>
      <c r="I76" t="s">
        <v>71</v>
      </c>
      <c r="J76" t="s">
        <v>62</v>
      </c>
      <c r="K76" s="4">
        <v>650</v>
      </c>
      <c r="L76" s="4">
        <v>650</v>
      </c>
      <c r="M76" s="4">
        <f t="shared" si="7"/>
        <v>0</v>
      </c>
      <c r="N76" s="4">
        <v>1398</v>
      </c>
      <c r="O76" s="4">
        <f t="shared" si="8"/>
        <v>908700</v>
      </c>
      <c r="P76" s="4">
        <f t="shared" si="9"/>
        <v>0</v>
      </c>
      <c r="Q76" t="str">
        <f>IF(M76&lt;=0,"Cobrada",IF(L76&gt;0,"Parcial",IF(C76&lt;Resumen!$B$3,"Vencida",IF(C76&lt;=Resumen!$B$3+15,"Por vencer","Pendiente"))))</f>
        <v>Cobrada</v>
      </c>
      <c r="R76" s="5">
        <f>IF(M76&lt;=0,MAX(0,D76-C76),MAX(0,Resumen!$B$3-C76))</f>
        <v>78</v>
      </c>
      <c r="S76" t="str">
        <f>IF(M76&lt;=0,"Sin prioridad",IF(R76&gt;60,"Alta",IF(R76&gt;30,"Media",IF(C76&lt;=Resumen!$B$3+15,"Media","Baja"))))</f>
        <v>Sin prioridad</v>
      </c>
      <c r="T76" t="s">
        <v>83</v>
      </c>
      <c r="U76" t="s">
        <v>64</v>
      </c>
      <c r="W76" s="3">
        <f t="shared" si="10"/>
        <v>45962</v>
      </c>
      <c r="X76" s="3">
        <f t="shared" si="11"/>
        <v>45992</v>
      </c>
      <c r="Y76" t="s">
        <v>167</v>
      </c>
      <c r="Z76" t="str">
        <f>IF(AND(M76&gt;0,C76&lt;Resumen!$B$3),"Sí","No")</f>
        <v>No</v>
      </c>
      <c r="AA76" t="str">
        <f t="shared" si="12"/>
        <v>No</v>
      </c>
      <c r="AB76" t="str">
        <f t="shared" si="13"/>
        <v>Sí</v>
      </c>
    </row>
    <row r="77" spans="1:28">
      <c r="A77" t="s">
        <v>198</v>
      </c>
      <c r="B77" s="3">
        <v>45981</v>
      </c>
      <c r="C77" s="3">
        <v>45996</v>
      </c>
      <c r="D77" s="3">
        <v>46004</v>
      </c>
      <c r="E77" t="s">
        <v>162</v>
      </c>
      <c r="F77" t="s">
        <v>163</v>
      </c>
      <c r="G77" t="s">
        <v>59</v>
      </c>
      <c r="H77" t="s">
        <v>60</v>
      </c>
      <c r="I77" t="s">
        <v>61</v>
      </c>
      <c r="J77" t="s">
        <v>72</v>
      </c>
      <c r="K77" s="4">
        <v>763000</v>
      </c>
      <c r="L77" s="4">
        <v>763000</v>
      </c>
      <c r="M77" s="4">
        <f t="shared" si="7"/>
        <v>0</v>
      </c>
      <c r="N77" s="4">
        <v>1398</v>
      </c>
      <c r="O77" s="4">
        <f t="shared" si="8"/>
        <v>763000</v>
      </c>
      <c r="P77" s="4">
        <f t="shared" si="9"/>
        <v>0</v>
      </c>
      <c r="Q77" t="str">
        <f>IF(M77&lt;=0,"Cobrada",IF(L77&gt;0,"Parcial",IF(C77&lt;Resumen!$B$3,"Vencida",IF(C77&lt;=Resumen!$B$3+15,"Por vencer","Pendiente"))))</f>
        <v>Cobrada</v>
      </c>
      <c r="R77" s="5">
        <f>IF(M77&lt;=0,MAX(0,D77-C77),MAX(0,Resumen!$B$3-C77))</f>
        <v>8</v>
      </c>
      <c r="S77" t="str">
        <f>IF(M77&lt;=0,"Sin prioridad",IF(R77&gt;60,"Alta",IF(R77&gt;30,"Media",IF(C77&lt;=Resumen!$B$3+15,"Media","Baja"))))</f>
        <v>Sin prioridad</v>
      </c>
      <c r="T77" t="s">
        <v>83</v>
      </c>
      <c r="U77" t="s">
        <v>64</v>
      </c>
      <c r="V77" t="s">
        <v>65</v>
      </c>
      <c r="W77" s="3">
        <f t="shared" si="10"/>
        <v>45962</v>
      </c>
      <c r="X77" s="3">
        <f t="shared" si="11"/>
        <v>45992</v>
      </c>
      <c r="Y77" t="s">
        <v>167</v>
      </c>
      <c r="Z77" t="str">
        <f>IF(AND(M77&gt;0,C77&lt;Resumen!$B$3),"Sí","No")</f>
        <v>No</v>
      </c>
      <c r="AA77" t="str">
        <f t="shared" si="12"/>
        <v>No</v>
      </c>
      <c r="AB77" t="str">
        <f t="shared" si="13"/>
        <v>No</v>
      </c>
    </row>
    <row r="78" spans="1:28">
      <c r="A78" t="s">
        <v>199</v>
      </c>
      <c r="B78" s="3">
        <v>45982</v>
      </c>
      <c r="C78" s="3">
        <v>45997</v>
      </c>
      <c r="D78" s="3">
        <v>46019</v>
      </c>
      <c r="E78" t="s">
        <v>171</v>
      </c>
      <c r="F78" t="s">
        <v>21</v>
      </c>
      <c r="G78" t="s">
        <v>59</v>
      </c>
      <c r="H78" t="s">
        <v>60</v>
      </c>
      <c r="I78" t="s">
        <v>61</v>
      </c>
      <c r="J78" t="s">
        <v>62</v>
      </c>
      <c r="K78" s="4">
        <v>250</v>
      </c>
      <c r="L78" s="4">
        <v>162.75</v>
      </c>
      <c r="M78" s="4">
        <f t="shared" si="7"/>
        <v>87.25</v>
      </c>
      <c r="N78" s="4">
        <v>1398</v>
      </c>
      <c r="O78" s="4">
        <f t="shared" si="8"/>
        <v>349500</v>
      </c>
      <c r="P78" s="4">
        <f t="shared" si="9"/>
        <v>121975.5</v>
      </c>
      <c r="Q78" t="str">
        <f>IF(M78&lt;=0,"Cobrada",IF(L78&gt;0,"Parcial",IF(C78&lt;Resumen!$B$3,"Vencida",IF(C78&lt;=Resumen!$B$3+15,"Por vencer","Pendiente"))))</f>
        <v>Parcial</v>
      </c>
      <c r="R78" s="5">
        <f>IF(M78&lt;=0,MAX(0,D78-C78),MAX(0,Resumen!$B$3-C78))</f>
        <v>207</v>
      </c>
      <c r="S78" t="str">
        <f>IF(M78&lt;=0,"Sin prioridad",IF(R78&gt;60,"Alta",IF(R78&gt;30,"Media",IF(C78&lt;=Resumen!$B$3+15,"Media","Baja"))))</f>
        <v>Alta</v>
      </c>
      <c r="T78" t="s">
        <v>87</v>
      </c>
      <c r="U78" t="s">
        <v>105</v>
      </c>
      <c r="V78" t="s">
        <v>74</v>
      </c>
      <c r="W78" s="3">
        <f t="shared" si="10"/>
        <v>45962</v>
      </c>
      <c r="X78" s="3">
        <f t="shared" si="11"/>
        <v>45992</v>
      </c>
      <c r="Y78" t="s">
        <v>167</v>
      </c>
      <c r="Z78" t="str">
        <f>IF(AND(M78&gt;0,C78&lt;Resumen!$B$3),"Sí","No")</f>
        <v>Sí</v>
      </c>
      <c r="AA78" t="str">
        <f t="shared" si="12"/>
        <v>Sí</v>
      </c>
      <c r="AB78" t="str">
        <f t="shared" si="13"/>
        <v>Sí</v>
      </c>
    </row>
    <row r="79" spans="1:28">
      <c r="A79" t="s">
        <v>200</v>
      </c>
      <c r="B79" s="3">
        <v>45982</v>
      </c>
      <c r="C79" s="3">
        <v>46027</v>
      </c>
      <c r="D79" s="3">
        <v>46052</v>
      </c>
      <c r="E79" t="s">
        <v>120</v>
      </c>
      <c r="F79" t="s">
        <v>14</v>
      </c>
      <c r="G79" t="s">
        <v>59</v>
      </c>
      <c r="H79" t="s">
        <v>140</v>
      </c>
      <c r="I79" t="s">
        <v>141</v>
      </c>
      <c r="J79" t="s">
        <v>62</v>
      </c>
      <c r="K79" s="4">
        <v>850</v>
      </c>
      <c r="L79" s="4">
        <v>850</v>
      </c>
      <c r="M79" s="4">
        <f t="shared" si="7"/>
        <v>0</v>
      </c>
      <c r="N79" s="4">
        <v>1398</v>
      </c>
      <c r="O79" s="4">
        <f t="shared" si="8"/>
        <v>1188300</v>
      </c>
      <c r="P79" s="4">
        <f t="shared" si="9"/>
        <v>0</v>
      </c>
      <c r="Q79" t="str">
        <f>IF(M79&lt;=0,"Cobrada",IF(L79&gt;0,"Parcial",IF(C79&lt;Resumen!$B$3,"Vencida",IF(C79&lt;=Resumen!$B$3+15,"Por vencer","Pendiente"))))</f>
        <v>Cobrada</v>
      </c>
      <c r="R79" s="5">
        <f>IF(M79&lt;=0,MAX(0,D79-C79),MAX(0,Resumen!$B$3-C79))</f>
        <v>25</v>
      </c>
      <c r="S79" t="str">
        <f>IF(M79&lt;=0,"Sin prioridad",IF(R79&gt;60,"Alta",IF(R79&gt;30,"Media",IF(C79&lt;=Resumen!$B$3+15,"Media","Baja"))))</f>
        <v>Sin prioridad</v>
      </c>
      <c r="T79" t="s">
        <v>63</v>
      </c>
      <c r="U79" t="s">
        <v>64</v>
      </c>
      <c r="V79" t="s">
        <v>74</v>
      </c>
      <c r="W79" s="3">
        <f t="shared" si="10"/>
        <v>45962</v>
      </c>
      <c r="X79" s="3">
        <f t="shared" si="11"/>
        <v>46023</v>
      </c>
      <c r="Y79" t="s">
        <v>167</v>
      </c>
      <c r="Z79" t="str">
        <f>IF(AND(M79&gt;0,C79&lt;Resumen!$B$3),"Sí","No")</f>
        <v>No</v>
      </c>
      <c r="AA79" t="str">
        <f t="shared" si="12"/>
        <v>No</v>
      </c>
      <c r="AB79" t="str">
        <f t="shared" si="13"/>
        <v>Sí</v>
      </c>
    </row>
    <row r="80" spans="1:28">
      <c r="A80" t="s">
        <v>201</v>
      </c>
      <c r="B80" s="3">
        <v>45972</v>
      </c>
      <c r="C80" s="3">
        <v>46017</v>
      </c>
      <c r="D80" s="3">
        <v>46024</v>
      </c>
      <c r="E80" t="s">
        <v>82</v>
      </c>
      <c r="F80" t="s">
        <v>15</v>
      </c>
      <c r="G80" t="s">
        <v>59</v>
      </c>
      <c r="H80" t="s">
        <v>110</v>
      </c>
      <c r="I80" t="s">
        <v>111</v>
      </c>
      <c r="J80" t="s">
        <v>72</v>
      </c>
      <c r="K80" s="4">
        <v>975000</v>
      </c>
      <c r="L80" s="4">
        <v>975000</v>
      </c>
      <c r="M80" s="4">
        <f t="shared" si="7"/>
        <v>0</v>
      </c>
      <c r="N80" s="4">
        <v>1398</v>
      </c>
      <c r="O80" s="4">
        <f t="shared" si="8"/>
        <v>975000</v>
      </c>
      <c r="P80" s="4">
        <f t="shared" si="9"/>
        <v>0</v>
      </c>
      <c r="Q80" t="str">
        <f>IF(M80&lt;=0,"Cobrada",IF(L80&gt;0,"Parcial",IF(C80&lt;Resumen!$B$3,"Vencida",IF(C80&lt;=Resumen!$B$3+15,"Por vencer","Pendiente"))))</f>
        <v>Cobrada</v>
      </c>
      <c r="R80" s="5">
        <f>IF(M80&lt;=0,MAX(0,D80-C80),MAX(0,Resumen!$B$3-C80))</f>
        <v>7</v>
      </c>
      <c r="S80" t="str">
        <f>IF(M80&lt;=0,"Sin prioridad",IF(R80&gt;60,"Alta",IF(R80&gt;30,"Media",IF(C80&lt;=Resumen!$B$3+15,"Media","Baja"))))</f>
        <v>Sin prioridad</v>
      </c>
      <c r="T80" t="s">
        <v>83</v>
      </c>
      <c r="U80" t="s">
        <v>64</v>
      </c>
      <c r="V80" t="s">
        <v>78</v>
      </c>
      <c r="W80" s="3">
        <f t="shared" si="10"/>
        <v>45962</v>
      </c>
      <c r="X80" s="3">
        <f t="shared" si="11"/>
        <v>45992</v>
      </c>
      <c r="Y80" t="s">
        <v>167</v>
      </c>
      <c r="Z80" t="str">
        <f>IF(AND(M80&gt;0,C80&lt;Resumen!$B$3),"Sí","No")</f>
        <v>No</v>
      </c>
      <c r="AA80" t="str">
        <f t="shared" si="12"/>
        <v>No</v>
      </c>
      <c r="AB80" t="str">
        <f t="shared" si="13"/>
        <v>No</v>
      </c>
    </row>
    <row r="81" spans="1:28">
      <c r="A81" t="s">
        <v>202</v>
      </c>
      <c r="B81" s="3">
        <v>45986</v>
      </c>
      <c r="C81" s="3">
        <v>46016</v>
      </c>
      <c r="D81" s="3">
        <v>46012</v>
      </c>
      <c r="E81" t="s">
        <v>100</v>
      </c>
      <c r="F81" t="s">
        <v>101</v>
      </c>
      <c r="G81" t="s">
        <v>59</v>
      </c>
      <c r="H81" t="s">
        <v>70</v>
      </c>
      <c r="I81" t="s">
        <v>71</v>
      </c>
      <c r="J81" t="s">
        <v>72</v>
      </c>
      <c r="K81" s="4">
        <v>371000</v>
      </c>
      <c r="L81" s="4">
        <v>371000</v>
      </c>
      <c r="M81" s="4">
        <f t="shared" si="7"/>
        <v>0</v>
      </c>
      <c r="N81" s="4">
        <v>1398</v>
      </c>
      <c r="O81" s="4">
        <f t="shared" si="8"/>
        <v>371000</v>
      </c>
      <c r="P81" s="4">
        <f t="shared" si="9"/>
        <v>0</v>
      </c>
      <c r="Q81" t="str">
        <f>IF(M81&lt;=0,"Cobrada",IF(L81&gt;0,"Parcial",IF(C81&lt;Resumen!$B$3,"Vencida",IF(C81&lt;=Resumen!$B$3+15,"Por vencer","Pendiente"))))</f>
        <v>Cobrada</v>
      </c>
      <c r="R81" s="5">
        <f>IF(M81&lt;=0,MAX(0,D81-C81),MAX(0,Resumen!$B$3-C81))</f>
        <v>0</v>
      </c>
      <c r="S81" t="str">
        <f>IF(M81&lt;=0,"Sin prioridad",IF(R81&gt;60,"Alta",IF(R81&gt;30,"Media",IF(C81&lt;=Resumen!$B$3+15,"Media","Baja"))))</f>
        <v>Sin prioridad</v>
      </c>
      <c r="T81" t="s">
        <v>87</v>
      </c>
      <c r="U81" t="s">
        <v>64</v>
      </c>
      <c r="V81" t="s">
        <v>74</v>
      </c>
      <c r="W81" s="3">
        <f t="shared" si="10"/>
        <v>45962</v>
      </c>
      <c r="X81" s="3">
        <f t="shared" si="11"/>
        <v>45992</v>
      </c>
      <c r="Y81" t="s">
        <v>167</v>
      </c>
      <c r="Z81" t="str">
        <f>IF(AND(M81&gt;0,C81&lt;Resumen!$B$3),"Sí","No")</f>
        <v>No</v>
      </c>
      <c r="AA81" t="str">
        <f t="shared" si="12"/>
        <v>No</v>
      </c>
      <c r="AB81" t="str">
        <f t="shared" si="13"/>
        <v>No</v>
      </c>
    </row>
    <row r="82" spans="1:28">
      <c r="A82" t="s">
        <v>203</v>
      </c>
      <c r="B82" s="3">
        <v>45982</v>
      </c>
      <c r="C82" s="3">
        <v>45997</v>
      </c>
      <c r="D82" s="3">
        <v>45994</v>
      </c>
      <c r="E82" t="s">
        <v>76</v>
      </c>
      <c r="F82" t="s">
        <v>77</v>
      </c>
      <c r="G82" t="s">
        <v>59</v>
      </c>
      <c r="H82" t="s">
        <v>70</v>
      </c>
      <c r="I82" t="s">
        <v>71</v>
      </c>
      <c r="J82" t="s">
        <v>72</v>
      </c>
      <c r="K82" s="4">
        <v>356000</v>
      </c>
      <c r="L82" s="4">
        <v>356000</v>
      </c>
      <c r="M82" s="4">
        <f t="shared" si="7"/>
        <v>0</v>
      </c>
      <c r="N82" s="4">
        <v>1398</v>
      </c>
      <c r="O82" s="4">
        <f t="shared" si="8"/>
        <v>356000</v>
      </c>
      <c r="P82" s="4">
        <f t="shared" si="9"/>
        <v>0</v>
      </c>
      <c r="Q82" t="str">
        <f>IF(M82&lt;=0,"Cobrada",IF(L82&gt;0,"Parcial",IF(C82&lt;Resumen!$B$3,"Vencida",IF(C82&lt;=Resumen!$B$3+15,"Por vencer","Pendiente"))))</f>
        <v>Cobrada</v>
      </c>
      <c r="R82" s="5">
        <f>IF(M82&lt;=0,MAX(0,D82-C82),MAX(0,Resumen!$B$3-C82))</f>
        <v>0</v>
      </c>
      <c r="S82" t="str">
        <f>IF(M82&lt;=0,"Sin prioridad",IF(R82&gt;60,"Alta",IF(R82&gt;30,"Media",IF(C82&lt;=Resumen!$B$3+15,"Media","Baja"))))</f>
        <v>Sin prioridad</v>
      </c>
      <c r="T82" t="s">
        <v>73</v>
      </c>
      <c r="U82" t="s">
        <v>64</v>
      </c>
      <c r="V82" t="s">
        <v>106</v>
      </c>
      <c r="W82" s="3">
        <f t="shared" si="10"/>
        <v>45962</v>
      </c>
      <c r="X82" s="3">
        <f t="shared" si="11"/>
        <v>45992</v>
      </c>
      <c r="Y82" t="s">
        <v>167</v>
      </c>
      <c r="Z82" t="str">
        <f>IF(AND(M82&gt;0,C82&lt;Resumen!$B$3),"Sí","No")</f>
        <v>No</v>
      </c>
      <c r="AA82" t="str">
        <f t="shared" si="12"/>
        <v>No</v>
      </c>
      <c r="AB82" t="str">
        <f t="shared" si="13"/>
        <v>No</v>
      </c>
    </row>
    <row r="83" spans="1:28">
      <c r="A83" t="s">
        <v>204</v>
      </c>
      <c r="B83" s="3">
        <v>45970</v>
      </c>
      <c r="C83" s="3">
        <v>45985</v>
      </c>
      <c r="D83" s="3"/>
      <c r="E83" t="s">
        <v>108</v>
      </c>
      <c r="F83" t="s">
        <v>109</v>
      </c>
      <c r="G83" t="s">
        <v>59</v>
      </c>
      <c r="H83" t="s">
        <v>140</v>
      </c>
      <c r="I83" t="s">
        <v>141</v>
      </c>
      <c r="J83" t="s">
        <v>62</v>
      </c>
      <c r="K83" s="4">
        <v>950</v>
      </c>
      <c r="L83" s="4">
        <v>0</v>
      </c>
      <c r="M83" s="4">
        <f t="shared" si="7"/>
        <v>950</v>
      </c>
      <c r="N83" s="4">
        <v>1398</v>
      </c>
      <c r="O83" s="4">
        <f t="shared" si="8"/>
        <v>1328100</v>
      </c>
      <c r="P83" s="4">
        <f t="shared" si="9"/>
        <v>1328100</v>
      </c>
      <c r="Q83" t="str">
        <f>IF(M83&lt;=0,"Cobrada",IF(L83&gt;0,"Parcial",IF(C83&lt;Resumen!$B$3,"Vencida",IF(C83&lt;=Resumen!$B$3+15,"Por vencer","Pendiente"))))</f>
        <v>Vencida</v>
      </c>
      <c r="R83" s="5">
        <f>IF(M83&lt;=0,MAX(0,D83-C83),MAX(0,Resumen!$B$3-C83))</f>
        <v>219</v>
      </c>
      <c r="S83" t="str">
        <f>IF(M83&lt;=0,"Sin prioridad",IF(R83&gt;60,"Alta",IF(R83&gt;30,"Media",IF(C83&lt;=Resumen!$B$3+15,"Media","Baja"))))</f>
        <v>Alta</v>
      </c>
      <c r="T83" t="s">
        <v>63</v>
      </c>
      <c r="U83" t="s">
        <v>179</v>
      </c>
      <c r="W83" s="3">
        <f t="shared" si="10"/>
        <v>45962</v>
      </c>
      <c r="X83" s="3">
        <f t="shared" si="11"/>
        <v>45962</v>
      </c>
      <c r="Y83" t="s">
        <v>167</v>
      </c>
      <c r="Z83" t="str">
        <f>IF(AND(M83&gt;0,C83&lt;Resumen!$B$3),"Sí","No")</f>
        <v>Sí</v>
      </c>
      <c r="AA83" t="str">
        <f t="shared" si="12"/>
        <v>No</v>
      </c>
      <c r="AB83" t="str">
        <f t="shared" si="13"/>
        <v>Sí</v>
      </c>
    </row>
    <row r="84" spans="1:28">
      <c r="A84" t="s">
        <v>205</v>
      </c>
      <c r="B84" s="3">
        <v>45979</v>
      </c>
      <c r="C84" s="3">
        <v>46009</v>
      </c>
      <c r="D84" s="3">
        <v>46012</v>
      </c>
      <c r="E84" t="s">
        <v>206</v>
      </c>
      <c r="F84" t="s">
        <v>207</v>
      </c>
      <c r="G84" t="s">
        <v>59</v>
      </c>
      <c r="H84" t="s">
        <v>70</v>
      </c>
      <c r="I84" t="s">
        <v>71</v>
      </c>
      <c r="J84" t="s">
        <v>72</v>
      </c>
      <c r="K84" s="4">
        <v>846000</v>
      </c>
      <c r="L84" s="4">
        <v>846000</v>
      </c>
      <c r="M84" s="4">
        <f t="shared" si="7"/>
        <v>0</v>
      </c>
      <c r="N84" s="4">
        <v>1398</v>
      </c>
      <c r="O84" s="4">
        <f t="shared" si="8"/>
        <v>846000</v>
      </c>
      <c r="P84" s="4">
        <f t="shared" si="9"/>
        <v>0</v>
      </c>
      <c r="Q84" t="str">
        <f>IF(M84&lt;=0,"Cobrada",IF(L84&gt;0,"Parcial",IF(C84&lt;Resumen!$B$3,"Vencida",IF(C84&lt;=Resumen!$B$3+15,"Por vencer","Pendiente"))))</f>
        <v>Cobrada</v>
      </c>
      <c r="R84" s="5">
        <f>IF(M84&lt;=0,MAX(0,D84-C84),MAX(0,Resumen!$B$3-C84))</f>
        <v>3</v>
      </c>
      <c r="S84" t="str">
        <f>IF(M84&lt;=0,"Sin prioridad",IF(R84&gt;60,"Alta",IF(R84&gt;30,"Media",IF(C84&lt;=Resumen!$B$3+15,"Media","Baja"))))</f>
        <v>Sin prioridad</v>
      </c>
      <c r="T84" t="s">
        <v>83</v>
      </c>
      <c r="U84" t="s">
        <v>64</v>
      </c>
      <c r="V84" t="s">
        <v>78</v>
      </c>
      <c r="W84" s="3">
        <f t="shared" si="10"/>
        <v>45962</v>
      </c>
      <c r="X84" s="3">
        <f t="shared" si="11"/>
        <v>45992</v>
      </c>
      <c r="Y84" t="s">
        <v>167</v>
      </c>
      <c r="Z84" t="str">
        <f>IF(AND(M84&gt;0,C84&lt;Resumen!$B$3),"Sí","No")</f>
        <v>No</v>
      </c>
      <c r="AA84" t="str">
        <f t="shared" si="12"/>
        <v>No</v>
      </c>
      <c r="AB84" t="str">
        <f t="shared" si="13"/>
        <v>No</v>
      </c>
    </row>
    <row r="85" spans="1:28">
      <c r="A85" t="s">
        <v>208</v>
      </c>
      <c r="B85" s="3">
        <v>45968</v>
      </c>
      <c r="C85" s="3">
        <v>45983</v>
      </c>
      <c r="D85" s="3"/>
      <c r="E85" t="s">
        <v>171</v>
      </c>
      <c r="F85" t="s">
        <v>21</v>
      </c>
      <c r="G85" t="s">
        <v>59</v>
      </c>
      <c r="H85" t="s">
        <v>60</v>
      </c>
      <c r="I85" t="s">
        <v>61</v>
      </c>
      <c r="J85" t="s">
        <v>62</v>
      </c>
      <c r="K85" s="4">
        <v>600</v>
      </c>
      <c r="L85" s="4">
        <v>0</v>
      </c>
      <c r="M85" s="4">
        <f t="shared" si="7"/>
        <v>600</v>
      </c>
      <c r="N85" s="4">
        <v>1398</v>
      </c>
      <c r="O85" s="4">
        <f t="shared" si="8"/>
        <v>838800</v>
      </c>
      <c r="P85" s="4">
        <f t="shared" si="9"/>
        <v>838800</v>
      </c>
      <c r="Q85" t="str">
        <f>IF(M85&lt;=0,"Cobrada",IF(L85&gt;0,"Parcial",IF(C85&lt;Resumen!$B$3,"Vencida",IF(C85&lt;=Resumen!$B$3+15,"Por vencer","Pendiente"))))</f>
        <v>Vencida</v>
      </c>
      <c r="R85" s="5">
        <f>IF(M85&lt;=0,MAX(0,D85-C85),MAX(0,Resumen!$B$3-C85))</f>
        <v>221</v>
      </c>
      <c r="S85" t="str">
        <f>IF(M85&lt;=0,"Sin prioridad",IF(R85&gt;60,"Alta",IF(R85&gt;30,"Media",IF(C85&lt;=Resumen!$B$3+15,"Media","Baja"))))</f>
        <v>Alta</v>
      </c>
      <c r="T85" t="s">
        <v>87</v>
      </c>
      <c r="U85" t="s">
        <v>91</v>
      </c>
      <c r="V85" t="s">
        <v>74</v>
      </c>
      <c r="W85" s="3">
        <f t="shared" si="10"/>
        <v>45962</v>
      </c>
      <c r="X85" s="3">
        <f t="shared" si="11"/>
        <v>45962</v>
      </c>
      <c r="Y85" t="s">
        <v>167</v>
      </c>
      <c r="Z85" t="str">
        <f>IF(AND(M85&gt;0,C85&lt;Resumen!$B$3),"Sí","No")</f>
        <v>Sí</v>
      </c>
      <c r="AA85" t="str">
        <f t="shared" si="12"/>
        <v>No</v>
      </c>
      <c r="AB85" t="str">
        <f t="shared" si="13"/>
        <v>Sí</v>
      </c>
    </row>
    <row r="86" spans="1:28">
      <c r="A86" t="s">
        <v>209</v>
      </c>
      <c r="B86" s="3">
        <v>45979</v>
      </c>
      <c r="C86" s="3">
        <v>45994</v>
      </c>
      <c r="D86" s="3"/>
      <c r="E86" t="s">
        <v>108</v>
      </c>
      <c r="F86" t="s">
        <v>109</v>
      </c>
      <c r="G86" t="s">
        <v>59</v>
      </c>
      <c r="H86" t="s">
        <v>113</v>
      </c>
      <c r="I86" t="s">
        <v>114</v>
      </c>
      <c r="J86" t="s">
        <v>62</v>
      </c>
      <c r="K86" s="4">
        <v>1150</v>
      </c>
      <c r="L86" s="4">
        <v>0</v>
      </c>
      <c r="M86" s="4">
        <f t="shared" si="7"/>
        <v>1150</v>
      </c>
      <c r="N86" s="4">
        <v>1398</v>
      </c>
      <c r="O86" s="4">
        <f t="shared" si="8"/>
        <v>1607700</v>
      </c>
      <c r="P86" s="4">
        <f t="shared" si="9"/>
        <v>1607700</v>
      </c>
      <c r="Q86" t="str">
        <f>IF(M86&lt;=0,"Cobrada",IF(L86&gt;0,"Parcial",IF(C86&lt;Resumen!$B$3,"Vencida",IF(C86&lt;=Resumen!$B$3+15,"Por vencer","Pendiente"))))</f>
        <v>Vencida</v>
      </c>
      <c r="R86" s="5">
        <f>IF(M86&lt;=0,MAX(0,D86-C86),MAX(0,Resumen!$B$3-C86))</f>
        <v>210</v>
      </c>
      <c r="S86" t="str">
        <f>IF(M86&lt;=0,"Sin prioridad",IF(R86&gt;60,"Alta",IF(R86&gt;30,"Media",IF(C86&lt;=Resumen!$B$3+15,"Media","Baja"))))</f>
        <v>Alta</v>
      </c>
      <c r="T86" t="s">
        <v>63</v>
      </c>
      <c r="U86" t="s">
        <v>179</v>
      </c>
      <c r="V86" t="s">
        <v>78</v>
      </c>
      <c r="W86" s="3">
        <f t="shared" si="10"/>
        <v>45962</v>
      </c>
      <c r="X86" s="3">
        <f t="shared" si="11"/>
        <v>45992</v>
      </c>
      <c r="Y86" t="s">
        <v>167</v>
      </c>
      <c r="Z86" t="str">
        <f>IF(AND(M86&gt;0,C86&lt;Resumen!$B$3),"Sí","No")</f>
        <v>Sí</v>
      </c>
      <c r="AA86" t="str">
        <f t="shared" si="12"/>
        <v>No</v>
      </c>
      <c r="AB86" t="str">
        <f t="shared" si="13"/>
        <v>Sí</v>
      </c>
    </row>
    <row r="87" spans="1:28">
      <c r="A87" t="s">
        <v>210</v>
      </c>
      <c r="B87" s="3">
        <v>45987</v>
      </c>
      <c r="C87" s="3">
        <v>46032</v>
      </c>
      <c r="D87" s="3">
        <v>46034</v>
      </c>
      <c r="E87" t="s">
        <v>143</v>
      </c>
      <c r="F87" t="s">
        <v>144</v>
      </c>
      <c r="G87" t="s">
        <v>59</v>
      </c>
      <c r="H87" t="s">
        <v>70</v>
      </c>
      <c r="I87" t="s">
        <v>71</v>
      </c>
      <c r="J87" t="s">
        <v>72</v>
      </c>
      <c r="K87" s="4">
        <v>368000</v>
      </c>
      <c r="L87" s="4">
        <v>368000</v>
      </c>
      <c r="M87" s="4">
        <f t="shared" si="7"/>
        <v>0</v>
      </c>
      <c r="N87" s="4">
        <v>1398</v>
      </c>
      <c r="O87" s="4">
        <f t="shared" si="8"/>
        <v>368000</v>
      </c>
      <c r="P87" s="4">
        <f t="shared" si="9"/>
        <v>0</v>
      </c>
      <c r="Q87" t="str">
        <f>IF(M87&lt;=0,"Cobrada",IF(L87&gt;0,"Parcial",IF(C87&lt;Resumen!$B$3,"Vencida",IF(C87&lt;=Resumen!$B$3+15,"Por vencer","Pendiente"))))</f>
        <v>Cobrada</v>
      </c>
      <c r="R87" s="5">
        <f>IF(M87&lt;=0,MAX(0,D87-C87),MAX(0,Resumen!$B$3-C87))</f>
        <v>2</v>
      </c>
      <c r="S87" t="str">
        <f>IF(M87&lt;=0,"Sin prioridad",IF(R87&gt;60,"Alta",IF(R87&gt;30,"Media",IF(C87&lt;=Resumen!$B$3+15,"Media","Baja"))))</f>
        <v>Sin prioridad</v>
      </c>
      <c r="T87" t="s">
        <v>87</v>
      </c>
      <c r="U87" t="s">
        <v>64</v>
      </c>
      <c r="V87" t="s">
        <v>78</v>
      </c>
      <c r="W87" s="3">
        <f t="shared" si="10"/>
        <v>45962</v>
      </c>
      <c r="X87" s="3">
        <f t="shared" si="11"/>
        <v>46023</v>
      </c>
      <c r="Y87" t="s">
        <v>167</v>
      </c>
      <c r="Z87" t="str">
        <f>IF(AND(M87&gt;0,C87&lt;Resumen!$B$3),"Sí","No")</f>
        <v>No</v>
      </c>
      <c r="AA87" t="str">
        <f t="shared" si="12"/>
        <v>No</v>
      </c>
      <c r="AB87" t="str">
        <f t="shared" si="13"/>
        <v>No</v>
      </c>
    </row>
    <row r="88" spans="1:28">
      <c r="A88" t="s">
        <v>211</v>
      </c>
      <c r="B88" s="3">
        <v>45980</v>
      </c>
      <c r="C88" s="3">
        <v>46025</v>
      </c>
      <c r="D88" s="3">
        <v>46035</v>
      </c>
      <c r="E88" t="s">
        <v>82</v>
      </c>
      <c r="F88" t="s">
        <v>15</v>
      </c>
      <c r="G88" t="s">
        <v>59</v>
      </c>
      <c r="H88" t="s">
        <v>140</v>
      </c>
      <c r="I88" t="s">
        <v>141</v>
      </c>
      <c r="J88" t="s">
        <v>62</v>
      </c>
      <c r="K88" s="4">
        <v>600</v>
      </c>
      <c r="L88" s="4">
        <v>600</v>
      </c>
      <c r="M88" s="4">
        <f t="shared" si="7"/>
        <v>0</v>
      </c>
      <c r="N88" s="4">
        <v>1398</v>
      </c>
      <c r="O88" s="4">
        <f t="shared" si="8"/>
        <v>838800</v>
      </c>
      <c r="P88" s="4">
        <f t="shared" si="9"/>
        <v>0</v>
      </c>
      <c r="Q88" t="str">
        <f>IF(M88&lt;=0,"Cobrada",IF(L88&gt;0,"Parcial",IF(C88&lt;Resumen!$B$3,"Vencida",IF(C88&lt;=Resumen!$B$3+15,"Por vencer","Pendiente"))))</f>
        <v>Cobrada</v>
      </c>
      <c r="R88" s="5">
        <f>IF(M88&lt;=0,MAX(0,D88-C88),MAX(0,Resumen!$B$3-C88))</f>
        <v>10</v>
      </c>
      <c r="S88" t="str">
        <f>IF(M88&lt;=0,"Sin prioridad",IF(R88&gt;60,"Alta",IF(R88&gt;30,"Media",IF(C88&lt;=Resumen!$B$3+15,"Media","Baja"))))</f>
        <v>Sin prioridad</v>
      </c>
      <c r="T88" t="s">
        <v>83</v>
      </c>
      <c r="U88" t="s">
        <v>64</v>
      </c>
      <c r="V88" t="s">
        <v>78</v>
      </c>
      <c r="W88" s="3">
        <f t="shared" si="10"/>
        <v>45962</v>
      </c>
      <c r="X88" s="3">
        <f t="shared" si="11"/>
        <v>46023</v>
      </c>
      <c r="Y88" t="s">
        <v>167</v>
      </c>
      <c r="Z88" t="str">
        <f>IF(AND(M88&gt;0,C88&lt;Resumen!$B$3),"Sí","No")</f>
        <v>No</v>
      </c>
      <c r="AA88" t="str">
        <f t="shared" si="12"/>
        <v>No</v>
      </c>
      <c r="AB88" t="str">
        <f t="shared" si="13"/>
        <v>Sí</v>
      </c>
    </row>
    <row r="89" spans="1:28">
      <c r="A89" t="s">
        <v>212</v>
      </c>
      <c r="B89" s="3">
        <v>45974</v>
      </c>
      <c r="C89" s="3">
        <v>46019</v>
      </c>
      <c r="D89" s="3">
        <v>46029</v>
      </c>
      <c r="E89" t="s">
        <v>129</v>
      </c>
      <c r="F89" t="s">
        <v>130</v>
      </c>
      <c r="G89" t="s">
        <v>59</v>
      </c>
      <c r="H89" t="s">
        <v>70</v>
      </c>
      <c r="I89" t="s">
        <v>71</v>
      </c>
      <c r="J89" t="s">
        <v>72</v>
      </c>
      <c r="K89" s="4">
        <v>534000</v>
      </c>
      <c r="L89" s="4">
        <v>305290.34999999998</v>
      </c>
      <c r="M89" s="4">
        <f t="shared" si="7"/>
        <v>228709.65000000002</v>
      </c>
      <c r="N89" s="4">
        <v>1398</v>
      </c>
      <c r="O89" s="4">
        <f t="shared" si="8"/>
        <v>534000</v>
      </c>
      <c r="P89" s="4">
        <f t="shared" si="9"/>
        <v>228709.65000000002</v>
      </c>
      <c r="Q89" t="str">
        <f>IF(M89&lt;=0,"Cobrada",IF(L89&gt;0,"Parcial",IF(C89&lt;Resumen!$B$3,"Vencida",IF(C89&lt;=Resumen!$B$3+15,"Por vencer","Pendiente"))))</f>
        <v>Parcial</v>
      </c>
      <c r="R89" s="5">
        <f>IF(M89&lt;=0,MAX(0,D89-C89),MAX(0,Resumen!$B$3-C89))</f>
        <v>185</v>
      </c>
      <c r="S89" t="str">
        <f>IF(M89&lt;=0,"Sin prioridad",IF(R89&gt;60,"Alta",IF(R89&gt;30,"Media",IF(C89&lt;=Resumen!$B$3+15,"Media","Baja"))))</f>
        <v>Alta</v>
      </c>
      <c r="T89" t="s">
        <v>83</v>
      </c>
      <c r="U89" t="s">
        <v>105</v>
      </c>
      <c r="V89" t="s">
        <v>80</v>
      </c>
      <c r="W89" s="3">
        <f t="shared" si="10"/>
        <v>45962</v>
      </c>
      <c r="X89" s="3">
        <f t="shared" si="11"/>
        <v>45992</v>
      </c>
      <c r="Y89" t="s">
        <v>167</v>
      </c>
      <c r="Z89" t="str">
        <f>IF(AND(M89&gt;0,C89&lt;Resumen!$B$3),"Sí","No")</f>
        <v>Sí</v>
      </c>
      <c r="AA89" t="str">
        <f t="shared" si="12"/>
        <v>Sí</v>
      </c>
      <c r="AB89" t="str">
        <f t="shared" si="13"/>
        <v>No</v>
      </c>
    </row>
    <row r="90" spans="1:28">
      <c r="A90" t="s">
        <v>213</v>
      </c>
      <c r="B90" s="3">
        <v>45982</v>
      </c>
      <c r="C90" s="3">
        <v>46012</v>
      </c>
      <c r="D90" s="3">
        <v>46025</v>
      </c>
      <c r="E90" t="s">
        <v>132</v>
      </c>
      <c r="F90" t="s">
        <v>133</v>
      </c>
      <c r="G90" t="s">
        <v>59</v>
      </c>
      <c r="H90" t="s">
        <v>60</v>
      </c>
      <c r="I90" t="s">
        <v>61</v>
      </c>
      <c r="J90" t="s">
        <v>62</v>
      </c>
      <c r="K90" s="4">
        <v>600</v>
      </c>
      <c r="L90" s="4">
        <v>600</v>
      </c>
      <c r="M90" s="4">
        <f t="shared" si="7"/>
        <v>0</v>
      </c>
      <c r="N90" s="4">
        <v>1398</v>
      </c>
      <c r="O90" s="4">
        <f t="shared" si="8"/>
        <v>838800</v>
      </c>
      <c r="P90" s="4">
        <f t="shared" si="9"/>
        <v>0</v>
      </c>
      <c r="Q90" t="str">
        <f>IF(M90&lt;=0,"Cobrada",IF(L90&gt;0,"Parcial",IF(C90&lt;Resumen!$B$3,"Vencida",IF(C90&lt;=Resumen!$B$3+15,"Por vencer","Pendiente"))))</f>
        <v>Cobrada</v>
      </c>
      <c r="R90" s="5">
        <f>IF(M90&lt;=0,MAX(0,D90-C90),MAX(0,Resumen!$B$3-C90))</f>
        <v>13</v>
      </c>
      <c r="S90" t="str">
        <f>IF(M90&lt;=0,"Sin prioridad",IF(R90&gt;60,"Alta",IF(R90&gt;30,"Media",IF(C90&lt;=Resumen!$B$3+15,"Media","Baja"))))</f>
        <v>Sin prioridad</v>
      </c>
      <c r="T90" t="s">
        <v>73</v>
      </c>
      <c r="U90" t="s">
        <v>64</v>
      </c>
      <c r="V90" t="s">
        <v>74</v>
      </c>
      <c r="W90" s="3">
        <f t="shared" si="10"/>
        <v>45962</v>
      </c>
      <c r="X90" s="3">
        <f t="shared" si="11"/>
        <v>45992</v>
      </c>
      <c r="Y90" t="s">
        <v>167</v>
      </c>
      <c r="Z90" t="str">
        <f>IF(AND(M90&gt;0,C90&lt;Resumen!$B$3),"Sí","No")</f>
        <v>No</v>
      </c>
      <c r="AA90" t="str">
        <f t="shared" si="12"/>
        <v>No</v>
      </c>
      <c r="AB90" t="str">
        <f t="shared" si="13"/>
        <v>Sí</v>
      </c>
    </row>
    <row r="91" spans="1:28">
      <c r="A91" t="s">
        <v>214</v>
      </c>
      <c r="B91" s="3">
        <v>45986</v>
      </c>
      <c r="C91" s="3">
        <v>46001</v>
      </c>
      <c r="D91" s="3"/>
      <c r="E91" t="s">
        <v>58</v>
      </c>
      <c r="F91" t="s">
        <v>10</v>
      </c>
      <c r="G91" t="s">
        <v>59</v>
      </c>
      <c r="H91" t="s">
        <v>60</v>
      </c>
      <c r="I91" t="s">
        <v>61</v>
      </c>
      <c r="J91" t="s">
        <v>72</v>
      </c>
      <c r="K91" s="4">
        <v>587000</v>
      </c>
      <c r="L91" s="4">
        <v>0</v>
      </c>
      <c r="M91" s="4">
        <f t="shared" si="7"/>
        <v>587000</v>
      </c>
      <c r="N91" s="4">
        <v>1398</v>
      </c>
      <c r="O91" s="4">
        <f t="shared" si="8"/>
        <v>587000</v>
      </c>
      <c r="P91" s="4">
        <f t="shared" si="9"/>
        <v>587000</v>
      </c>
      <c r="Q91" t="str">
        <f>IF(M91&lt;=0,"Cobrada",IF(L91&gt;0,"Parcial",IF(C91&lt;Resumen!$B$3,"Vencida",IF(C91&lt;=Resumen!$B$3+15,"Por vencer","Pendiente"))))</f>
        <v>Vencida</v>
      </c>
      <c r="R91" s="5">
        <f>IF(M91&lt;=0,MAX(0,D91-C91),MAX(0,Resumen!$B$3-C91))</f>
        <v>203</v>
      </c>
      <c r="S91" t="str">
        <f>IF(M91&lt;=0,"Sin prioridad",IF(R91&gt;60,"Alta",IF(R91&gt;30,"Media",IF(C91&lt;=Resumen!$B$3+15,"Media","Baja"))))</f>
        <v>Alta</v>
      </c>
      <c r="T91" t="s">
        <v>63</v>
      </c>
      <c r="U91" t="s">
        <v>179</v>
      </c>
      <c r="V91" t="s">
        <v>74</v>
      </c>
      <c r="W91" s="3">
        <f t="shared" si="10"/>
        <v>45962</v>
      </c>
      <c r="X91" s="3">
        <f t="shared" si="11"/>
        <v>45992</v>
      </c>
      <c r="Y91" t="s">
        <v>167</v>
      </c>
      <c r="Z91" t="str">
        <f>IF(AND(M91&gt;0,C91&lt;Resumen!$B$3),"Sí","No")</f>
        <v>Sí</v>
      </c>
      <c r="AA91" t="str">
        <f t="shared" si="12"/>
        <v>No</v>
      </c>
      <c r="AB91" t="str">
        <f t="shared" si="13"/>
        <v>No</v>
      </c>
    </row>
    <row r="92" spans="1:28">
      <c r="A92" t="s">
        <v>215</v>
      </c>
      <c r="B92" s="3">
        <v>45968</v>
      </c>
      <c r="C92" s="3">
        <v>45998</v>
      </c>
      <c r="D92" s="3">
        <v>46012</v>
      </c>
      <c r="E92" t="s">
        <v>118</v>
      </c>
      <c r="F92" t="s">
        <v>22</v>
      </c>
      <c r="G92" t="s">
        <v>59</v>
      </c>
      <c r="H92" t="s">
        <v>70</v>
      </c>
      <c r="I92" t="s">
        <v>71</v>
      </c>
      <c r="J92" t="s">
        <v>72</v>
      </c>
      <c r="K92" s="4">
        <v>545000</v>
      </c>
      <c r="L92" s="4">
        <v>545000</v>
      </c>
      <c r="M92" s="4">
        <f t="shared" si="7"/>
        <v>0</v>
      </c>
      <c r="N92" s="4">
        <v>1398</v>
      </c>
      <c r="O92" s="4">
        <f t="shared" si="8"/>
        <v>545000</v>
      </c>
      <c r="P92" s="4">
        <f t="shared" si="9"/>
        <v>0</v>
      </c>
      <c r="Q92" t="str">
        <f>IF(M92&lt;=0,"Cobrada",IF(L92&gt;0,"Parcial",IF(C92&lt;Resumen!$B$3,"Vencida",IF(C92&lt;=Resumen!$B$3+15,"Por vencer","Pendiente"))))</f>
        <v>Cobrada</v>
      </c>
      <c r="R92" s="5">
        <f>IF(M92&lt;=0,MAX(0,D92-C92),MAX(0,Resumen!$B$3-C92))</f>
        <v>14</v>
      </c>
      <c r="S92" t="str">
        <f>IF(M92&lt;=0,"Sin prioridad",IF(R92&gt;60,"Alta",IF(R92&gt;30,"Media",IF(C92&lt;=Resumen!$B$3+15,"Media","Baja"))))</f>
        <v>Sin prioridad</v>
      </c>
      <c r="T92" t="s">
        <v>87</v>
      </c>
      <c r="U92" t="s">
        <v>64</v>
      </c>
      <c r="V92" t="s">
        <v>80</v>
      </c>
      <c r="W92" s="3">
        <f t="shared" si="10"/>
        <v>45962</v>
      </c>
      <c r="X92" s="3">
        <f t="shared" si="11"/>
        <v>45992</v>
      </c>
      <c r="Y92" t="s">
        <v>167</v>
      </c>
      <c r="Z92" t="str">
        <f>IF(AND(M92&gt;0,C92&lt;Resumen!$B$3),"Sí","No")</f>
        <v>No</v>
      </c>
      <c r="AA92" t="str">
        <f t="shared" si="12"/>
        <v>No</v>
      </c>
      <c r="AB92" t="str">
        <f t="shared" si="13"/>
        <v>No</v>
      </c>
    </row>
    <row r="93" spans="1:28">
      <c r="A93" t="s">
        <v>216</v>
      </c>
      <c r="B93" s="3">
        <v>46016</v>
      </c>
      <c r="C93" s="3">
        <v>46031</v>
      </c>
      <c r="D93" s="3">
        <v>46049</v>
      </c>
      <c r="E93" t="s">
        <v>68</v>
      </c>
      <c r="F93" t="s">
        <v>69</v>
      </c>
      <c r="G93" t="s">
        <v>59</v>
      </c>
      <c r="H93" t="s">
        <v>70</v>
      </c>
      <c r="I93" t="s">
        <v>71</v>
      </c>
      <c r="J93" t="s">
        <v>72</v>
      </c>
      <c r="K93" s="4">
        <v>433000</v>
      </c>
      <c r="L93" s="4">
        <v>316399.64</v>
      </c>
      <c r="M93" s="4">
        <f t="shared" si="7"/>
        <v>116600.35999999999</v>
      </c>
      <c r="N93" s="4">
        <v>1436</v>
      </c>
      <c r="O93" s="4">
        <f t="shared" si="8"/>
        <v>433000</v>
      </c>
      <c r="P93" s="4">
        <f t="shared" si="9"/>
        <v>116600.35999999999</v>
      </c>
      <c r="Q93" t="str">
        <f>IF(M93&lt;=0,"Cobrada",IF(L93&gt;0,"Parcial",IF(C93&lt;Resumen!$B$3,"Vencida",IF(C93&lt;=Resumen!$B$3+15,"Por vencer","Pendiente"))))</f>
        <v>Parcial</v>
      </c>
      <c r="R93" s="5">
        <f>IF(M93&lt;=0,MAX(0,D93-C93),MAX(0,Resumen!$B$3-C93))</f>
        <v>173</v>
      </c>
      <c r="S93" t="str">
        <f>IF(M93&lt;=0,"Sin prioridad",IF(R93&gt;60,"Alta",IF(R93&gt;30,"Media",IF(C93&lt;=Resumen!$B$3+15,"Media","Baja"))))</f>
        <v>Alta</v>
      </c>
      <c r="T93" t="s">
        <v>73</v>
      </c>
      <c r="U93" t="s">
        <v>105</v>
      </c>
      <c r="V93" t="s">
        <v>65</v>
      </c>
      <c r="W93" s="3">
        <f t="shared" si="10"/>
        <v>45992</v>
      </c>
      <c r="X93" s="3">
        <f t="shared" si="11"/>
        <v>46023</v>
      </c>
      <c r="Y93" t="s">
        <v>167</v>
      </c>
      <c r="Z93" t="str">
        <f>IF(AND(M93&gt;0,C93&lt;Resumen!$B$3),"Sí","No")</f>
        <v>Sí</v>
      </c>
      <c r="AA93" t="str">
        <f t="shared" si="12"/>
        <v>Sí</v>
      </c>
      <c r="AB93" t="str">
        <f t="shared" si="13"/>
        <v>No</v>
      </c>
    </row>
    <row r="94" spans="1:28">
      <c r="A94" t="s">
        <v>217</v>
      </c>
      <c r="B94" s="3">
        <v>46009</v>
      </c>
      <c r="C94" s="3">
        <v>46024</v>
      </c>
      <c r="D94" s="3">
        <v>46022</v>
      </c>
      <c r="E94" t="s">
        <v>76</v>
      </c>
      <c r="F94" t="s">
        <v>77</v>
      </c>
      <c r="G94" t="s">
        <v>59</v>
      </c>
      <c r="H94" t="s">
        <v>60</v>
      </c>
      <c r="I94" t="s">
        <v>61</v>
      </c>
      <c r="J94" t="s">
        <v>72</v>
      </c>
      <c r="K94" s="4">
        <v>285000</v>
      </c>
      <c r="L94" s="4">
        <v>285000</v>
      </c>
      <c r="M94" s="4">
        <f t="shared" si="7"/>
        <v>0</v>
      </c>
      <c r="N94" s="4">
        <v>1436</v>
      </c>
      <c r="O94" s="4">
        <f t="shared" si="8"/>
        <v>285000</v>
      </c>
      <c r="P94" s="4">
        <f t="shared" si="9"/>
        <v>0</v>
      </c>
      <c r="Q94" t="str">
        <f>IF(M94&lt;=0,"Cobrada",IF(L94&gt;0,"Parcial",IF(C94&lt;Resumen!$B$3,"Vencida",IF(C94&lt;=Resumen!$B$3+15,"Por vencer","Pendiente"))))</f>
        <v>Cobrada</v>
      </c>
      <c r="R94" s="5">
        <f>IF(M94&lt;=0,MAX(0,D94-C94),MAX(0,Resumen!$B$3-C94))</f>
        <v>0</v>
      </c>
      <c r="S94" t="str">
        <f>IF(M94&lt;=0,"Sin prioridad",IF(R94&gt;60,"Alta",IF(R94&gt;30,"Media",IF(C94&lt;=Resumen!$B$3+15,"Media","Baja"))))</f>
        <v>Sin prioridad</v>
      </c>
      <c r="T94" t="s">
        <v>73</v>
      </c>
      <c r="U94" t="s">
        <v>64</v>
      </c>
      <c r="V94" t="s">
        <v>106</v>
      </c>
      <c r="W94" s="3">
        <f t="shared" si="10"/>
        <v>45992</v>
      </c>
      <c r="X94" s="3">
        <f t="shared" si="11"/>
        <v>46023</v>
      </c>
      <c r="Y94" t="s">
        <v>167</v>
      </c>
      <c r="Z94" t="str">
        <f>IF(AND(M94&gt;0,C94&lt;Resumen!$B$3),"Sí","No")</f>
        <v>No</v>
      </c>
      <c r="AA94" t="str">
        <f t="shared" si="12"/>
        <v>No</v>
      </c>
      <c r="AB94" t="str">
        <f t="shared" si="13"/>
        <v>No</v>
      </c>
    </row>
    <row r="95" spans="1:28">
      <c r="A95" t="s">
        <v>218</v>
      </c>
      <c r="B95" s="3">
        <v>46010</v>
      </c>
      <c r="C95" s="3">
        <v>46040</v>
      </c>
      <c r="D95" s="3">
        <v>46078</v>
      </c>
      <c r="E95" t="s">
        <v>90</v>
      </c>
      <c r="F95" t="s">
        <v>12</v>
      </c>
      <c r="G95" t="s">
        <v>59</v>
      </c>
      <c r="H95" t="s">
        <v>110</v>
      </c>
      <c r="I95" t="s">
        <v>111</v>
      </c>
      <c r="J95" t="s">
        <v>72</v>
      </c>
      <c r="K95" s="4">
        <v>677000</v>
      </c>
      <c r="L95" s="4">
        <v>677000</v>
      </c>
      <c r="M95" s="4">
        <f t="shared" si="7"/>
        <v>0</v>
      </c>
      <c r="N95" s="4">
        <v>1436</v>
      </c>
      <c r="O95" s="4">
        <f t="shared" si="8"/>
        <v>677000</v>
      </c>
      <c r="P95" s="4">
        <f t="shared" si="9"/>
        <v>0</v>
      </c>
      <c r="Q95" t="str">
        <f>IF(M95&lt;=0,"Cobrada",IF(L95&gt;0,"Parcial",IF(C95&lt;Resumen!$B$3,"Vencida",IF(C95&lt;=Resumen!$B$3+15,"Por vencer","Pendiente"))))</f>
        <v>Cobrada</v>
      </c>
      <c r="R95" s="5">
        <f>IF(M95&lt;=0,MAX(0,D95-C95),MAX(0,Resumen!$B$3-C95))</f>
        <v>38</v>
      </c>
      <c r="S95" t="str">
        <f>IF(M95&lt;=0,"Sin prioridad",IF(R95&gt;60,"Alta",IF(R95&gt;30,"Media",IF(C95&lt;=Resumen!$B$3+15,"Media","Baja"))))</f>
        <v>Sin prioridad</v>
      </c>
      <c r="T95" t="s">
        <v>63</v>
      </c>
      <c r="U95" t="s">
        <v>64</v>
      </c>
      <c r="V95" t="s">
        <v>65</v>
      </c>
      <c r="W95" s="3">
        <f t="shared" si="10"/>
        <v>45992</v>
      </c>
      <c r="X95" s="3">
        <f t="shared" si="11"/>
        <v>46023</v>
      </c>
      <c r="Y95" t="s">
        <v>167</v>
      </c>
      <c r="Z95" t="str">
        <f>IF(AND(M95&gt;0,C95&lt;Resumen!$B$3),"Sí","No")</f>
        <v>No</v>
      </c>
      <c r="AA95" t="str">
        <f t="shared" si="12"/>
        <v>No</v>
      </c>
      <c r="AB95" t="str">
        <f t="shared" si="13"/>
        <v>No</v>
      </c>
    </row>
    <row r="96" spans="1:28">
      <c r="A96" t="s">
        <v>219</v>
      </c>
      <c r="B96" s="3">
        <v>46003</v>
      </c>
      <c r="C96" s="3">
        <v>46018</v>
      </c>
      <c r="D96" s="3">
        <v>46029</v>
      </c>
      <c r="E96" t="s">
        <v>85</v>
      </c>
      <c r="F96" t="s">
        <v>86</v>
      </c>
      <c r="G96" t="s">
        <v>59</v>
      </c>
      <c r="H96" t="s">
        <v>113</v>
      </c>
      <c r="I96" t="s">
        <v>114</v>
      </c>
      <c r="J96" t="s">
        <v>62</v>
      </c>
      <c r="K96" s="4">
        <v>800</v>
      </c>
      <c r="L96" s="4">
        <v>800</v>
      </c>
      <c r="M96" s="4">
        <f t="shared" si="7"/>
        <v>0</v>
      </c>
      <c r="N96" s="4">
        <v>1436</v>
      </c>
      <c r="O96" s="4">
        <f t="shared" si="8"/>
        <v>1148800</v>
      </c>
      <c r="P96" s="4">
        <f t="shared" si="9"/>
        <v>0</v>
      </c>
      <c r="Q96" t="str">
        <f>IF(M96&lt;=0,"Cobrada",IF(L96&gt;0,"Parcial",IF(C96&lt;Resumen!$B$3,"Vencida",IF(C96&lt;=Resumen!$B$3+15,"Por vencer","Pendiente"))))</f>
        <v>Cobrada</v>
      </c>
      <c r="R96" s="5">
        <f>IF(M96&lt;=0,MAX(0,D96-C96),MAX(0,Resumen!$B$3-C96))</f>
        <v>11</v>
      </c>
      <c r="S96" t="str">
        <f>IF(M96&lt;=0,"Sin prioridad",IF(R96&gt;60,"Alta",IF(R96&gt;30,"Media",IF(C96&lt;=Resumen!$B$3+15,"Media","Baja"))))</f>
        <v>Sin prioridad</v>
      </c>
      <c r="T96" t="s">
        <v>87</v>
      </c>
      <c r="U96" t="s">
        <v>64</v>
      </c>
      <c r="V96" t="s">
        <v>65</v>
      </c>
      <c r="W96" s="3">
        <f t="shared" si="10"/>
        <v>45992</v>
      </c>
      <c r="X96" s="3">
        <f t="shared" si="11"/>
        <v>45992</v>
      </c>
      <c r="Y96" t="s">
        <v>167</v>
      </c>
      <c r="Z96" t="str">
        <f>IF(AND(M96&gt;0,C96&lt;Resumen!$B$3),"Sí","No")</f>
        <v>No</v>
      </c>
      <c r="AA96" t="str">
        <f t="shared" si="12"/>
        <v>No</v>
      </c>
      <c r="AB96" t="str">
        <f t="shared" si="13"/>
        <v>Sí</v>
      </c>
    </row>
    <row r="97" spans="1:28">
      <c r="A97" t="s">
        <v>220</v>
      </c>
      <c r="B97" s="3">
        <v>46016</v>
      </c>
      <c r="C97" s="3">
        <v>46046</v>
      </c>
      <c r="D97" s="3">
        <v>46043</v>
      </c>
      <c r="E97" t="s">
        <v>206</v>
      </c>
      <c r="F97" t="s">
        <v>207</v>
      </c>
      <c r="G97" t="s">
        <v>59</v>
      </c>
      <c r="H97" t="s">
        <v>113</v>
      </c>
      <c r="I97" t="s">
        <v>114</v>
      </c>
      <c r="J97" t="s">
        <v>62</v>
      </c>
      <c r="K97" s="4">
        <v>2350</v>
      </c>
      <c r="L97" s="4">
        <v>2350</v>
      </c>
      <c r="M97" s="4">
        <f t="shared" si="7"/>
        <v>0</v>
      </c>
      <c r="N97" s="4">
        <v>1436</v>
      </c>
      <c r="O97" s="4">
        <f t="shared" si="8"/>
        <v>3374600</v>
      </c>
      <c r="P97" s="4">
        <f t="shared" si="9"/>
        <v>0</v>
      </c>
      <c r="Q97" t="str">
        <f>IF(M97&lt;=0,"Cobrada",IF(L97&gt;0,"Parcial",IF(C97&lt;Resumen!$B$3,"Vencida",IF(C97&lt;=Resumen!$B$3+15,"Por vencer","Pendiente"))))</f>
        <v>Cobrada</v>
      </c>
      <c r="R97" s="5">
        <f>IF(M97&lt;=0,MAX(0,D97-C97),MAX(0,Resumen!$B$3-C97))</f>
        <v>0</v>
      </c>
      <c r="S97" t="str">
        <f>IF(M97&lt;=0,"Sin prioridad",IF(R97&gt;60,"Alta",IF(R97&gt;30,"Media",IF(C97&lt;=Resumen!$B$3+15,"Media","Baja"))))</f>
        <v>Sin prioridad</v>
      </c>
      <c r="T97" t="s">
        <v>83</v>
      </c>
      <c r="U97" t="s">
        <v>64</v>
      </c>
      <c r="V97" t="s">
        <v>74</v>
      </c>
      <c r="W97" s="3">
        <f t="shared" si="10"/>
        <v>45992</v>
      </c>
      <c r="X97" s="3">
        <f t="shared" si="11"/>
        <v>46023</v>
      </c>
      <c r="Y97" t="s">
        <v>167</v>
      </c>
      <c r="Z97" t="str">
        <f>IF(AND(M97&gt;0,C97&lt;Resumen!$B$3),"Sí","No")</f>
        <v>No</v>
      </c>
      <c r="AA97" t="str">
        <f t="shared" si="12"/>
        <v>No</v>
      </c>
      <c r="AB97" t="str">
        <f t="shared" si="13"/>
        <v>Sí</v>
      </c>
    </row>
    <row r="98" spans="1:28">
      <c r="A98" t="s">
        <v>221</v>
      </c>
      <c r="B98" s="3">
        <v>46010</v>
      </c>
      <c r="C98" s="3">
        <v>46025</v>
      </c>
      <c r="D98" s="3">
        <v>46027</v>
      </c>
      <c r="E98" t="s">
        <v>97</v>
      </c>
      <c r="F98" t="s">
        <v>98</v>
      </c>
      <c r="G98" t="s">
        <v>59</v>
      </c>
      <c r="H98" t="s">
        <v>70</v>
      </c>
      <c r="I98" t="s">
        <v>71</v>
      </c>
      <c r="J98" t="s">
        <v>72</v>
      </c>
      <c r="K98" s="4">
        <v>892000</v>
      </c>
      <c r="L98" s="4">
        <v>892000</v>
      </c>
      <c r="M98" s="4">
        <f t="shared" si="7"/>
        <v>0</v>
      </c>
      <c r="N98" s="4">
        <v>1436</v>
      </c>
      <c r="O98" s="4">
        <f t="shared" si="8"/>
        <v>892000</v>
      </c>
      <c r="P98" s="4">
        <f t="shared" si="9"/>
        <v>0</v>
      </c>
      <c r="Q98" t="str">
        <f>IF(M98&lt;=0,"Cobrada",IF(L98&gt;0,"Parcial",IF(C98&lt;Resumen!$B$3,"Vencida",IF(C98&lt;=Resumen!$B$3+15,"Por vencer","Pendiente"))))</f>
        <v>Cobrada</v>
      </c>
      <c r="R98" s="5">
        <f>IF(M98&lt;=0,MAX(0,D98-C98),MAX(0,Resumen!$B$3-C98))</f>
        <v>2</v>
      </c>
      <c r="S98" t="str">
        <f>IF(M98&lt;=0,"Sin prioridad",IF(R98&gt;60,"Alta",IF(R98&gt;30,"Media",IF(C98&lt;=Resumen!$B$3+15,"Media","Baja"))))</f>
        <v>Sin prioridad</v>
      </c>
      <c r="T98" t="s">
        <v>87</v>
      </c>
      <c r="U98" t="s">
        <v>64</v>
      </c>
      <c r="W98" s="3">
        <f t="shared" si="10"/>
        <v>45992</v>
      </c>
      <c r="X98" s="3">
        <f t="shared" si="11"/>
        <v>46023</v>
      </c>
      <c r="Y98" t="s">
        <v>167</v>
      </c>
      <c r="Z98" t="str">
        <f>IF(AND(M98&gt;0,C98&lt;Resumen!$B$3),"Sí","No")</f>
        <v>No</v>
      </c>
      <c r="AA98" t="str">
        <f t="shared" si="12"/>
        <v>No</v>
      </c>
      <c r="AB98" t="str">
        <f t="shared" si="13"/>
        <v>No</v>
      </c>
    </row>
    <row r="99" spans="1:28">
      <c r="A99" t="s">
        <v>222</v>
      </c>
      <c r="B99" s="3">
        <v>46004</v>
      </c>
      <c r="C99" s="3">
        <v>46034</v>
      </c>
      <c r="D99" s="3"/>
      <c r="E99" t="s">
        <v>100</v>
      </c>
      <c r="F99" t="s">
        <v>101</v>
      </c>
      <c r="G99" t="s">
        <v>59</v>
      </c>
      <c r="H99" t="s">
        <v>70</v>
      </c>
      <c r="I99" t="s">
        <v>71</v>
      </c>
      <c r="J99" t="s">
        <v>72</v>
      </c>
      <c r="K99" s="4">
        <v>578000</v>
      </c>
      <c r="L99" s="4">
        <v>0</v>
      </c>
      <c r="M99" s="4">
        <f t="shared" si="7"/>
        <v>578000</v>
      </c>
      <c r="N99" s="4">
        <v>1436</v>
      </c>
      <c r="O99" s="4">
        <f t="shared" si="8"/>
        <v>578000</v>
      </c>
      <c r="P99" s="4">
        <f t="shared" si="9"/>
        <v>578000</v>
      </c>
      <c r="Q99" t="str">
        <f>IF(M99&lt;=0,"Cobrada",IF(L99&gt;0,"Parcial",IF(C99&lt;Resumen!$B$3,"Vencida",IF(C99&lt;=Resumen!$B$3+15,"Por vencer","Pendiente"))))</f>
        <v>Vencida</v>
      </c>
      <c r="R99" s="5">
        <f>IF(M99&lt;=0,MAX(0,D99-C99),MAX(0,Resumen!$B$3-C99))</f>
        <v>170</v>
      </c>
      <c r="S99" t="str">
        <f>IF(M99&lt;=0,"Sin prioridad",IF(R99&gt;60,"Alta",IF(R99&gt;30,"Media",IF(C99&lt;=Resumen!$B$3+15,"Media","Baja"))))</f>
        <v>Alta</v>
      </c>
      <c r="T99" t="s">
        <v>87</v>
      </c>
      <c r="U99" t="s">
        <v>88</v>
      </c>
      <c r="V99" t="s">
        <v>78</v>
      </c>
      <c r="W99" s="3">
        <f t="shared" si="10"/>
        <v>45992</v>
      </c>
      <c r="X99" s="3">
        <f t="shared" si="11"/>
        <v>46023</v>
      </c>
      <c r="Y99" t="s">
        <v>167</v>
      </c>
      <c r="Z99" t="str">
        <f>IF(AND(M99&gt;0,C99&lt;Resumen!$B$3),"Sí","No")</f>
        <v>Sí</v>
      </c>
      <c r="AA99" t="str">
        <f t="shared" si="12"/>
        <v>No</v>
      </c>
      <c r="AB99" t="str">
        <f t="shared" si="13"/>
        <v>No</v>
      </c>
    </row>
    <row r="100" spans="1:28">
      <c r="A100" t="s">
        <v>223</v>
      </c>
      <c r="B100" s="3">
        <v>46001</v>
      </c>
      <c r="C100" s="3">
        <v>46016</v>
      </c>
      <c r="D100" s="3">
        <v>46019</v>
      </c>
      <c r="E100" t="s">
        <v>76</v>
      </c>
      <c r="F100" t="s">
        <v>77</v>
      </c>
      <c r="G100" t="s">
        <v>59</v>
      </c>
      <c r="H100" t="s">
        <v>113</v>
      </c>
      <c r="I100" t="s">
        <v>114</v>
      </c>
      <c r="J100" t="s">
        <v>62</v>
      </c>
      <c r="K100" s="4">
        <v>1900</v>
      </c>
      <c r="L100" s="4">
        <v>1543.53</v>
      </c>
      <c r="M100" s="4">
        <f t="shared" si="7"/>
        <v>356.47</v>
      </c>
      <c r="N100" s="4">
        <v>1436</v>
      </c>
      <c r="O100" s="4">
        <f t="shared" si="8"/>
        <v>2728400</v>
      </c>
      <c r="P100" s="4">
        <f t="shared" si="9"/>
        <v>511890.92000000004</v>
      </c>
      <c r="Q100" t="str">
        <f>IF(M100&lt;=0,"Cobrada",IF(L100&gt;0,"Parcial",IF(C100&lt;Resumen!$B$3,"Vencida",IF(C100&lt;=Resumen!$B$3+15,"Por vencer","Pendiente"))))</f>
        <v>Parcial</v>
      </c>
      <c r="R100" s="5">
        <f>IF(M100&lt;=0,MAX(0,D100-C100),MAX(0,Resumen!$B$3-C100))</f>
        <v>188</v>
      </c>
      <c r="S100" t="str">
        <f>IF(M100&lt;=0,"Sin prioridad",IF(R100&gt;60,"Alta",IF(R100&gt;30,"Media",IF(C100&lt;=Resumen!$B$3+15,"Media","Baja"))))</f>
        <v>Alta</v>
      </c>
      <c r="T100" t="s">
        <v>73</v>
      </c>
      <c r="U100" t="s">
        <v>105</v>
      </c>
      <c r="V100" t="s">
        <v>74</v>
      </c>
      <c r="W100" s="3">
        <f t="shared" si="10"/>
        <v>45992</v>
      </c>
      <c r="X100" s="3">
        <f t="shared" si="11"/>
        <v>45992</v>
      </c>
      <c r="Y100" t="s">
        <v>167</v>
      </c>
      <c r="Z100" t="str">
        <f>IF(AND(M100&gt;0,C100&lt;Resumen!$B$3),"Sí","No")</f>
        <v>Sí</v>
      </c>
      <c r="AA100" t="str">
        <f t="shared" si="12"/>
        <v>Sí</v>
      </c>
      <c r="AB100" t="str">
        <f t="shared" si="13"/>
        <v>Sí</v>
      </c>
    </row>
    <row r="101" spans="1:28">
      <c r="A101" t="s">
        <v>224</v>
      </c>
      <c r="B101" s="3">
        <v>46002</v>
      </c>
      <c r="C101" s="3">
        <v>46062</v>
      </c>
      <c r="D101" s="3">
        <v>46078</v>
      </c>
      <c r="E101" t="s">
        <v>93</v>
      </c>
      <c r="F101" t="s">
        <v>19</v>
      </c>
      <c r="G101" t="s">
        <v>59</v>
      </c>
      <c r="H101" t="s">
        <v>113</v>
      </c>
      <c r="I101" t="s">
        <v>114</v>
      </c>
      <c r="J101" t="s">
        <v>62</v>
      </c>
      <c r="K101" s="4">
        <v>1150</v>
      </c>
      <c r="L101" s="4">
        <v>1150</v>
      </c>
      <c r="M101" s="4">
        <f t="shared" si="7"/>
        <v>0</v>
      </c>
      <c r="N101" s="4">
        <v>1436</v>
      </c>
      <c r="O101" s="4">
        <f t="shared" si="8"/>
        <v>1651400</v>
      </c>
      <c r="P101" s="4">
        <f t="shared" si="9"/>
        <v>0</v>
      </c>
      <c r="Q101" t="str">
        <f>IF(M101&lt;=0,"Cobrada",IF(L101&gt;0,"Parcial",IF(C101&lt;Resumen!$B$3,"Vencida",IF(C101&lt;=Resumen!$B$3+15,"Por vencer","Pendiente"))))</f>
        <v>Cobrada</v>
      </c>
      <c r="R101" s="5">
        <f>IF(M101&lt;=0,MAX(0,D101-C101),MAX(0,Resumen!$B$3-C101))</f>
        <v>16</v>
      </c>
      <c r="S101" t="str">
        <f>IF(M101&lt;=0,"Sin prioridad",IF(R101&gt;60,"Alta",IF(R101&gt;30,"Media",IF(C101&lt;=Resumen!$B$3+15,"Media","Baja"))))</f>
        <v>Sin prioridad</v>
      </c>
      <c r="T101" t="s">
        <v>87</v>
      </c>
      <c r="U101" t="s">
        <v>64</v>
      </c>
      <c r="V101" t="s">
        <v>74</v>
      </c>
      <c r="W101" s="3">
        <f t="shared" si="10"/>
        <v>45992</v>
      </c>
      <c r="X101" s="3">
        <f t="shared" si="11"/>
        <v>46054</v>
      </c>
      <c r="Y101" t="s">
        <v>167</v>
      </c>
      <c r="Z101" t="str">
        <f>IF(AND(M101&gt;0,C101&lt;Resumen!$B$3),"Sí","No")</f>
        <v>No</v>
      </c>
      <c r="AA101" t="str">
        <f t="shared" si="12"/>
        <v>No</v>
      </c>
      <c r="AB101" t="str">
        <f t="shared" si="13"/>
        <v>Sí</v>
      </c>
    </row>
    <row r="102" spans="1:28">
      <c r="A102" t="s">
        <v>225</v>
      </c>
      <c r="B102" s="3">
        <v>46013</v>
      </c>
      <c r="C102" s="3">
        <v>46073</v>
      </c>
      <c r="D102" s="3">
        <v>46088</v>
      </c>
      <c r="E102" t="s">
        <v>93</v>
      </c>
      <c r="F102" t="s">
        <v>19</v>
      </c>
      <c r="G102" t="s">
        <v>59</v>
      </c>
      <c r="H102" t="s">
        <v>60</v>
      </c>
      <c r="I102" t="s">
        <v>61</v>
      </c>
      <c r="J102" t="s">
        <v>62</v>
      </c>
      <c r="K102" s="4">
        <v>350</v>
      </c>
      <c r="L102" s="4">
        <v>350</v>
      </c>
      <c r="M102" s="4">
        <f t="shared" si="7"/>
        <v>0</v>
      </c>
      <c r="N102" s="4">
        <v>1436</v>
      </c>
      <c r="O102" s="4">
        <f t="shared" si="8"/>
        <v>502600</v>
      </c>
      <c r="P102" s="4">
        <f t="shared" si="9"/>
        <v>0</v>
      </c>
      <c r="Q102" t="str">
        <f>IF(M102&lt;=0,"Cobrada",IF(L102&gt;0,"Parcial",IF(C102&lt;Resumen!$B$3,"Vencida",IF(C102&lt;=Resumen!$B$3+15,"Por vencer","Pendiente"))))</f>
        <v>Cobrada</v>
      </c>
      <c r="R102" s="5">
        <f>IF(M102&lt;=0,MAX(0,D102-C102),MAX(0,Resumen!$B$3-C102))</f>
        <v>15</v>
      </c>
      <c r="S102" t="str">
        <f>IF(M102&lt;=0,"Sin prioridad",IF(R102&gt;60,"Alta",IF(R102&gt;30,"Media",IF(C102&lt;=Resumen!$B$3+15,"Media","Baja"))))</f>
        <v>Sin prioridad</v>
      </c>
      <c r="T102" t="s">
        <v>87</v>
      </c>
      <c r="U102" t="s">
        <v>64</v>
      </c>
      <c r="V102" t="s">
        <v>78</v>
      </c>
      <c r="W102" s="3">
        <f t="shared" si="10"/>
        <v>45992</v>
      </c>
      <c r="X102" s="3">
        <f t="shared" si="11"/>
        <v>46054</v>
      </c>
      <c r="Y102" t="s">
        <v>167</v>
      </c>
      <c r="Z102" t="str">
        <f>IF(AND(M102&gt;0,C102&lt;Resumen!$B$3),"Sí","No")</f>
        <v>No</v>
      </c>
      <c r="AA102" t="str">
        <f t="shared" si="12"/>
        <v>No</v>
      </c>
      <c r="AB102" t="str">
        <f t="shared" si="13"/>
        <v>Sí</v>
      </c>
    </row>
    <row r="103" spans="1:28">
      <c r="A103" t="s">
        <v>226</v>
      </c>
      <c r="B103" s="3">
        <v>46013</v>
      </c>
      <c r="C103" s="3">
        <v>46043</v>
      </c>
      <c r="D103" s="3">
        <v>46059</v>
      </c>
      <c r="E103" t="s">
        <v>132</v>
      </c>
      <c r="F103" t="s">
        <v>133</v>
      </c>
      <c r="G103" t="s">
        <v>59</v>
      </c>
      <c r="H103" t="s">
        <v>60</v>
      </c>
      <c r="I103" t="s">
        <v>61</v>
      </c>
      <c r="J103" t="s">
        <v>72</v>
      </c>
      <c r="K103" s="4">
        <v>750000</v>
      </c>
      <c r="L103" s="4">
        <v>295957.03000000003</v>
      </c>
      <c r="M103" s="4">
        <f t="shared" si="7"/>
        <v>454042.97</v>
      </c>
      <c r="N103" s="4">
        <v>1436</v>
      </c>
      <c r="O103" s="4">
        <f t="shared" si="8"/>
        <v>750000</v>
      </c>
      <c r="P103" s="4">
        <f t="shared" si="9"/>
        <v>454042.97</v>
      </c>
      <c r="Q103" t="str">
        <f>IF(M103&lt;=0,"Cobrada",IF(L103&gt;0,"Parcial",IF(C103&lt;Resumen!$B$3,"Vencida",IF(C103&lt;=Resumen!$B$3+15,"Por vencer","Pendiente"))))</f>
        <v>Parcial</v>
      </c>
      <c r="R103" s="5">
        <f>IF(M103&lt;=0,MAX(0,D103-C103),MAX(0,Resumen!$B$3-C103))</f>
        <v>161</v>
      </c>
      <c r="S103" t="str">
        <f>IF(M103&lt;=0,"Sin prioridad",IF(R103&gt;60,"Alta",IF(R103&gt;30,"Media",IF(C103&lt;=Resumen!$B$3+15,"Media","Baja"))))</f>
        <v>Alta</v>
      </c>
      <c r="T103" t="s">
        <v>73</v>
      </c>
      <c r="U103" t="s">
        <v>105</v>
      </c>
      <c r="V103" t="s">
        <v>78</v>
      </c>
      <c r="W103" s="3">
        <f t="shared" si="10"/>
        <v>45992</v>
      </c>
      <c r="X103" s="3">
        <f t="shared" si="11"/>
        <v>46023</v>
      </c>
      <c r="Y103" t="s">
        <v>167</v>
      </c>
      <c r="Z103" t="str">
        <f>IF(AND(M103&gt;0,C103&lt;Resumen!$B$3),"Sí","No")</f>
        <v>Sí</v>
      </c>
      <c r="AA103" t="str">
        <f t="shared" si="12"/>
        <v>Sí</v>
      </c>
      <c r="AB103" t="str">
        <f t="shared" si="13"/>
        <v>No</v>
      </c>
    </row>
    <row r="104" spans="1:28">
      <c r="A104" t="s">
        <v>227</v>
      </c>
      <c r="B104" s="3">
        <v>46006</v>
      </c>
      <c r="C104" s="3">
        <v>46051</v>
      </c>
      <c r="D104" s="3">
        <v>46083</v>
      </c>
      <c r="E104" t="s">
        <v>120</v>
      </c>
      <c r="F104" t="s">
        <v>14</v>
      </c>
      <c r="G104" t="s">
        <v>59</v>
      </c>
      <c r="H104" t="s">
        <v>140</v>
      </c>
      <c r="I104" t="s">
        <v>141</v>
      </c>
      <c r="J104" t="s">
        <v>62</v>
      </c>
      <c r="K104" s="4">
        <v>550</v>
      </c>
      <c r="L104" s="4">
        <v>550</v>
      </c>
      <c r="M104" s="4">
        <f t="shared" si="7"/>
        <v>0</v>
      </c>
      <c r="N104" s="4">
        <v>1436</v>
      </c>
      <c r="O104" s="4">
        <f t="shared" si="8"/>
        <v>789800</v>
      </c>
      <c r="P104" s="4">
        <f t="shared" si="9"/>
        <v>0</v>
      </c>
      <c r="Q104" t="str">
        <f>IF(M104&lt;=0,"Cobrada",IF(L104&gt;0,"Parcial",IF(C104&lt;Resumen!$B$3,"Vencida",IF(C104&lt;=Resumen!$B$3+15,"Por vencer","Pendiente"))))</f>
        <v>Cobrada</v>
      </c>
      <c r="R104" s="5">
        <f>IF(M104&lt;=0,MAX(0,D104-C104),MAX(0,Resumen!$B$3-C104))</f>
        <v>32</v>
      </c>
      <c r="S104" t="str">
        <f>IF(M104&lt;=0,"Sin prioridad",IF(R104&gt;60,"Alta",IF(R104&gt;30,"Media",IF(C104&lt;=Resumen!$B$3+15,"Media","Baja"))))</f>
        <v>Sin prioridad</v>
      </c>
      <c r="T104" t="s">
        <v>63</v>
      </c>
      <c r="U104" t="s">
        <v>64</v>
      </c>
      <c r="W104" s="3">
        <f t="shared" si="10"/>
        <v>45992</v>
      </c>
      <c r="X104" s="3">
        <f t="shared" si="11"/>
        <v>46023</v>
      </c>
      <c r="Y104" t="s">
        <v>167</v>
      </c>
      <c r="Z104" t="str">
        <f>IF(AND(M104&gt;0,C104&lt;Resumen!$B$3),"Sí","No")</f>
        <v>No</v>
      </c>
      <c r="AA104" t="str">
        <f t="shared" si="12"/>
        <v>No</v>
      </c>
      <c r="AB104" t="str">
        <f t="shared" si="13"/>
        <v>Sí</v>
      </c>
    </row>
    <row r="105" spans="1:28">
      <c r="A105" t="s">
        <v>228</v>
      </c>
      <c r="B105" s="3">
        <v>46004</v>
      </c>
      <c r="C105" s="3">
        <v>46019</v>
      </c>
      <c r="D105" s="3">
        <v>46019</v>
      </c>
      <c r="E105" t="s">
        <v>97</v>
      </c>
      <c r="F105" t="s">
        <v>98</v>
      </c>
      <c r="G105" t="s">
        <v>59</v>
      </c>
      <c r="H105" t="s">
        <v>110</v>
      </c>
      <c r="I105" t="s">
        <v>111</v>
      </c>
      <c r="J105" t="s">
        <v>72</v>
      </c>
      <c r="K105" s="4">
        <v>390000</v>
      </c>
      <c r="L105" s="4">
        <v>390000</v>
      </c>
      <c r="M105" s="4">
        <f t="shared" si="7"/>
        <v>0</v>
      </c>
      <c r="N105" s="4">
        <v>1436</v>
      </c>
      <c r="O105" s="4">
        <f t="shared" si="8"/>
        <v>390000</v>
      </c>
      <c r="P105" s="4">
        <f t="shared" si="9"/>
        <v>0</v>
      </c>
      <c r="Q105" t="str">
        <f>IF(M105&lt;=0,"Cobrada",IF(L105&gt;0,"Parcial",IF(C105&lt;Resumen!$B$3,"Vencida",IF(C105&lt;=Resumen!$B$3+15,"Por vencer","Pendiente"))))</f>
        <v>Cobrada</v>
      </c>
      <c r="R105" s="5">
        <f>IF(M105&lt;=0,MAX(0,D105-C105),MAX(0,Resumen!$B$3-C105))</f>
        <v>0</v>
      </c>
      <c r="S105" t="str">
        <f>IF(M105&lt;=0,"Sin prioridad",IF(R105&gt;60,"Alta",IF(R105&gt;30,"Media",IF(C105&lt;=Resumen!$B$3+15,"Media","Baja"))))</f>
        <v>Sin prioridad</v>
      </c>
      <c r="T105" t="s">
        <v>87</v>
      </c>
      <c r="U105" t="s">
        <v>64</v>
      </c>
      <c r="V105" t="s">
        <v>74</v>
      </c>
      <c r="W105" s="3">
        <f t="shared" si="10"/>
        <v>45992</v>
      </c>
      <c r="X105" s="3">
        <f t="shared" si="11"/>
        <v>45992</v>
      </c>
      <c r="Y105" t="s">
        <v>167</v>
      </c>
      <c r="Z105" t="str">
        <f>IF(AND(M105&gt;0,C105&lt;Resumen!$B$3),"Sí","No")</f>
        <v>No</v>
      </c>
      <c r="AA105" t="str">
        <f t="shared" si="12"/>
        <v>No</v>
      </c>
      <c r="AB105" t="str">
        <f t="shared" si="13"/>
        <v>No</v>
      </c>
    </row>
    <row r="106" spans="1:28">
      <c r="A106" t="s">
        <v>229</v>
      </c>
      <c r="B106" s="3">
        <v>46010</v>
      </c>
      <c r="C106" s="3">
        <v>46025</v>
      </c>
      <c r="D106" s="3">
        <v>46060</v>
      </c>
      <c r="E106" t="s">
        <v>58</v>
      </c>
      <c r="F106" t="s">
        <v>10</v>
      </c>
      <c r="G106" t="s">
        <v>59</v>
      </c>
      <c r="H106" t="s">
        <v>60</v>
      </c>
      <c r="I106" t="s">
        <v>61</v>
      </c>
      <c r="J106" t="s">
        <v>72</v>
      </c>
      <c r="K106" s="4">
        <v>647000</v>
      </c>
      <c r="L106" s="4">
        <v>647000</v>
      </c>
      <c r="M106" s="4">
        <f t="shared" si="7"/>
        <v>0</v>
      </c>
      <c r="N106" s="4">
        <v>1436</v>
      </c>
      <c r="O106" s="4">
        <f t="shared" si="8"/>
        <v>647000</v>
      </c>
      <c r="P106" s="4">
        <f t="shared" si="9"/>
        <v>0</v>
      </c>
      <c r="Q106" t="str">
        <f>IF(M106&lt;=0,"Cobrada",IF(L106&gt;0,"Parcial",IF(C106&lt;Resumen!$B$3,"Vencida",IF(C106&lt;=Resumen!$B$3+15,"Por vencer","Pendiente"))))</f>
        <v>Cobrada</v>
      </c>
      <c r="R106" s="5">
        <f>IF(M106&lt;=0,MAX(0,D106-C106),MAX(0,Resumen!$B$3-C106))</f>
        <v>35</v>
      </c>
      <c r="S106" t="str">
        <f>IF(M106&lt;=0,"Sin prioridad",IF(R106&gt;60,"Alta",IF(R106&gt;30,"Media",IF(C106&lt;=Resumen!$B$3+15,"Media","Baja"))))</f>
        <v>Sin prioridad</v>
      </c>
      <c r="T106" t="s">
        <v>63</v>
      </c>
      <c r="U106" t="s">
        <v>64</v>
      </c>
      <c r="V106" t="s">
        <v>80</v>
      </c>
      <c r="W106" s="3">
        <f t="shared" si="10"/>
        <v>45992</v>
      </c>
      <c r="X106" s="3">
        <f t="shared" si="11"/>
        <v>46023</v>
      </c>
      <c r="Y106" t="s">
        <v>167</v>
      </c>
      <c r="Z106" t="str">
        <f>IF(AND(M106&gt;0,C106&lt;Resumen!$B$3),"Sí","No")</f>
        <v>No</v>
      </c>
      <c r="AA106" t="str">
        <f t="shared" si="12"/>
        <v>No</v>
      </c>
      <c r="AB106" t="str">
        <f t="shared" si="13"/>
        <v>No</v>
      </c>
    </row>
    <row r="107" spans="1:28">
      <c r="A107" t="s">
        <v>230</v>
      </c>
      <c r="B107" s="3">
        <v>46012</v>
      </c>
      <c r="C107" s="3">
        <v>46057</v>
      </c>
      <c r="D107" s="3"/>
      <c r="E107" t="s">
        <v>129</v>
      </c>
      <c r="F107" t="s">
        <v>130</v>
      </c>
      <c r="G107" t="s">
        <v>59</v>
      </c>
      <c r="H107" t="s">
        <v>70</v>
      </c>
      <c r="I107" t="s">
        <v>71</v>
      </c>
      <c r="J107" t="s">
        <v>72</v>
      </c>
      <c r="K107" s="4">
        <v>830000</v>
      </c>
      <c r="L107" s="4">
        <v>0</v>
      </c>
      <c r="M107" s="4">
        <f t="shared" si="7"/>
        <v>830000</v>
      </c>
      <c r="N107" s="4">
        <v>1436</v>
      </c>
      <c r="O107" s="4">
        <f t="shared" si="8"/>
        <v>830000</v>
      </c>
      <c r="P107" s="4">
        <f t="shared" si="9"/>
        <v>830000</v>
      </c>
      <c r="Q107" t="str">
        <f>IF(M107&lt;=0,"Cobrada",IF(L107&gt;0,"Parcial",IF(C107&lt;Resumen!$B$3,"Vencida",IF(C107&lt;=Resumen!$B$3+15,"Por vencer","Pendiente"))))</f>
        <v>Vencida</v>
      </c>
      <c r="R107" s="5">
        <f>IF(M107&lt;=0,MAX(0,D107-C107),MAX(0,Resumen!$B$3-C107))</f>
        <v>147</v>
      </c>
      <c r="S107" t="str">
        <f>IF(M107&lt;=0,"Sin prioridad",IF(R107&gt;60,"Alta",IF(R107&gt;30,"Media",IF(C107&lt;=Resumen!$B$3+15,"Media","Baja"))))</f>
        <v>Alta</v>
      </c>
      <c r="T107" t="s">
        <v>83</v>
      </c>
      <c r="U107" t="s">
        <v>179</v>
      </c>
      <c r="V107" t="s">
        <v>78</v>
      </c>
      <c r="W107" s="3">
        <f t="shared" si="10"/>
        <v>45992</v>
      </c>
      <c r="X107" s="3">
        <f t="shared" si="11"/>
        <v>46054</v>
      </c>
      <c r="Y107" t="s">
        <v>167</v>
      </c>
      <c r="Z107" t="str">
        <f>IF(AND(M107&gt;0,C107&lt;Resumen!$B$3),"Sí","No")</f>
        <v>Sí</v>
      </c>
      <c r="AA107" t="str">
        <f t="shared" si="12"/>
        <v>No</v>
      </c>
      <c r="AB107" t="str">
        <f t="shared" si="13"/>
        <v>No</v>
      </c>
    </row>
    <row r="108" spans="1:28">
      <c r="A108" t="s">
        <v>231</v>
      </c>
      <c r="B108" s="3">
        <v>46015</v>
      </c>
      <c r="C108" s="3">
        <v>46030</v>
      </c>
      <c r="D108" s="3">
        <v>46039</v>
      </c>
      <c r="E108" t="s">
        <v>68</v>
      </c>
      <c r="F108" t="s">
        <v>69</v>
      </c>
      <c r="G108" t="s">
        <v>59</v>
      </c>
      <c r="H108" t="s">
        <v>110</v>
      </c>
      <c r="I108" t="s">
        <v>111</v>
      </c>
      <c r="J108" t="s">
        <v>72</v>
      </c>
      <c r="K108" s="4">
        <v>1112000</v>
      </c>
      <c r="L108" s="4">
        <v>1112000</v>
      </c>
      <c r="M108" s="4">
        <f t="shared" si="7"/>
        <v>0</v>
      </c>
      <c r="N108" s="4">
        <v>1436</v>
      </c>
      <c r="O108" s="4">
        <f t="shared" si="8"/>
        <v>1112000</v>
      </c>
      <c r="P108" s="4">
        <f t="shared" si="9"/>
        <v>0</v>
      </c>
      <c r="Q108" t="str">
        <f>IF(M108&lt;=0,"Cobrada",IF(L108&gt;0,"Parcial",IF(C108&lt;Resumen!$B$3,"Vencida",IF(C108&lt;=Resumen!$B$3+15,"Por vencer","Pendiente"))))</f>
        <v>Cobrada</v>
      </c>
      <c r="R108" s="5">
        <f>IF(M108&lt;=0,MAX(0,D108-C108),MAX(0,Resumen!$B$3-C108))</f>
        <v>9</v>
      </c>
      <c r="S108" t="str">
        <f>IF(M108&lt;=0,"Sin prioridad",IF(R108&gt;60,"Alta",IF(R108&gt;30,"Media",IF(C108&lt;=Resumen!$B$3+15,"Media","Baja"))))</f>
        <v>Sin prioridad</v>
      </c>
      <c r="T108" t="s">
        <v>73</v>
      </c>
      <c r="U108" t="s">
        <v>64</v>
      </c>
      <c r="V108" t="s">
        <v>80</v>
      </c>
      <c r="W108" s="3">
        <f t="shared" si="10"/>
        <v>45992</v>
      </c>
      <c r="X108" s="3">
        <f t="shared" si="11"/>
        <v>46023</v>
      </c>
      <c r="Y108" t="s">
        <v>167</v>
      </c>
      <c r="Z108" t="str">
        <f>IF(AND(M108&gt;0,C108&lt;Resumen!$B$3),"Sí","No")</f>
        <v>No</v>
      </c>
      <c r="AA108" t="str">
        <f t="shared" si="12"/>
        <v>No</v>
      </c>
      <c r="AB108" t="str">
        <f t="shared" si="13"/>
        <v>No</v>
      </c>
    </row>
    <row r="109" spans="1:28">
      <c r="A109" t="s">
        <v>232</v>
      </c>
      <c r="B109" s="3">
        <v>46003</v>
      </c>
      <c r="C109" s="3">
        <v>46048</v>
      </c>
      <c r="D109" s="3"/>
      <c r="E109" t="s">
        <v>129</v>
      </c>
      <c r="F109" t="s">
        <v>130</v>
      </c>
      <c r="G109" t="s">
        <v>59</v>
      </c>
      <c r="H109" t="s">
        <v>70</v>
      </c>
      <c r="I109" t="s">
        <v>71</v>
      </c>
      <c r="J109" t="s">
        <v>72</v>
      </c>
      <c r="K109" s="4">
        <v>595000</v>
      </c>
      <c r="L109" s="4">
        <v>0</v>
      </c>
      <c r="M109" s="4">
        <f t="shared" si="7"/>
        <v>595000</v>
      </c>
      <c r="N109" s="4">
        <v>1436</v>
      </c>
      <c r="O109" s="4">
        <f t="shared" si="8"/>
        <v>595000</v>
      </c>
      <c r="P109" s="4">
        <f t="shared" si="9"/>
        <v>595000</v>
      </c>
      <c r="Q109" t="str">
        <f>IF(M109&lt;=0,"Cobrada",IF(L109&gt;0,"Parcial",IF(C109&lt;Resumen!$B$3,"Vencida",IF(C109&lt;=Resumen!$B$3+15,"Por vencer","Pendiente"))))</f>
        <v>Vencida</v>
      </c>
      <c r="R109" s="5">
        <f>IF(M109&lt;=0,MAX(0,D109-C109),MAX(0,Resumen!$B$3-C109))</f>
        <v>156</v>
      </c>
      <c r="S109" t="str">
        <f>IF(M109&lt;=0,"Sin prioridad",IF(R109&gt;60,"Alta",IF(R109&gt;30,"Media",IF(C109&lt;=Resumen!$B$3+15,"Media","Baja"))))</f>
        <v>Alta</v>
      </c>
      <c r="T109" t="s">
        <v>83</v>
      </c>
      <c r="U109" t="s">
        <v>179</v>
      </c>
      <c r="V109" t="s">
        <v>65</v>
      </c>
      <c r="W109" s="3">
        <f t="shared" si="10"/>
        <v>45992</v>
      </c>
      <c r="X109" s="3">
        <f t="shared" si="11"/>
        <v>46023</v>
      </c>
      <c r="Y109" t="s">
        <v>167</v>
      </c>
      <c r="Z109" t="str">
        <f>IF(AND(M109&gt;0,C109&lt;Resumen!$B$3),"Sí","No")</f>
        <v>Sí</v>
      </c>
      <c r="AA109" t="str">
        <f t="shared" si="12"/>
        <v>No</v>
      </c>
      <c r="AB109" t="str">
        <f t="shared" si="13"/>
        <v>No</v>
      </c>
    </row>
    <row r="110" spans="1:28">
      <c r="A110" t="s">
        <v>233</v>
      </c>
      <c r="B110" s="3">
        <v>46019</v>
      </c>
      <c r="C110" s="3">
        <v>46034</v>
      </c>
      <c r="D110" s="3">
        <v>46031</v>
      </c>
      <c r="E110" t="s">
        <v>97</v>
      </c>
      <c r="F110" t="s">
        <v>98</v>
      </c>
      <c r="G110" t="s">
        <v>59</v>
      </c>
      <c r="H110" t="s">
        <v>113</v>
      </c>
      <c r="I110" t="s">
        <v>114</v>
      </c>
      <c r="J110" t="s">
        <v>62</v>
      </c>
      <c r="K110" s="4">
        <v>2450</v>
      </c>
      <c r="L110" s="4">
        <v>2450</v>
      </c>
      <c r="M110" s="4">
        <f t="shared" si="7"/>
        <v>0</v>
      </c>
      <c r="N110" s="4">
        <v>1436</v>
      </c>
      <c r="O110" s="4">
        <f t="shared" si="8"/>
        <v>3518200</v>
      </c>
      <c r="P110" s="4">
        <f t="shared" si="9"/>
        <v>0</v>
      </c>
      <c r="Q110" t="str">
        <f>IF(M110&lt;=0,"Cobrada",IF(L110&gt;0,"Parcial",IF(C110&lt;Resumen!$B$3,"Vencida",IF(C110&lt;=Resumen!$B$3+15,"Por vencer","Pendiente"))))</f>
        <v>Cobrada</v>
      </c>
      <c r="R110" s="5">
        <f>IF(M110&lt;=0,MAX(0,D110-C110),MAX(0,Resumen!$B$3-C110))</f>
        <v>0</v>
      </c>
      <c r="S110" t="str">
        <f>IF(M110&lt;=0,"Sin prioridad",IF(R110&gt;60,"Alta",IF(R110&gt;30,"Media",IF(C110&lt;=Resumen!$B$3+15,"Media","Baja"))))</f>
        <v>Sin prioridad</v>
      </c>
      <c r="T110" t="s">
        <v>87</v>
      </c>
      <c r="U110" t="s">
        <v>64</v>
      </c>
      <c r="W110" s="3">
        <f t="shared" si="10"/>
        <v>45992</v>
      </c>
      <c r="X110" s="3">
        <f t="shared" si="11"/>
        <v>46023</v>
      </c>
      <c r="Y110" t="s">
        <v>167</v>
      </c>
      <c r="Z110" t="str">
        <f>IF(AND(M110&gt;0,C110&lt;Resumen!$B$3),"Sí","No")</f>
        <v>No</v>
      </c>
      <c r="AA110" t="str">
        <f t="shared" si="12"/>
        <v>No</v>
      </c>
      <c r="AB110" t="str">
        <f t="shared" si="13"/>
        <v>Sí</v>
      </c>
    </row>
    <row r="111" spans="1:28">
      <c r="A111" t="s">
        <v>234</v>
      </c>
      <c r="B111" s="3">
        <v>46011</v>
      </c>
      <c r="C111" s="3">
        <v>46071</v>
      </c>
      <c r="D111" s="3">
        <v>46096</v>
      </c>
      <c r="E111" t="s">
        <v>93</v>
      </c>
      <c r="F111" t="s">
        <v>19</v>
      </c>
      <c r="G111" t="s">
        <v>59</v>
      </c>
      <c r="H111" t="s">
        <v>60</v>
      </c>
      <c r="I111" t="s">
        <v>61</v>
      </c>
      <c r="J111" t="s">
        <v>72</v>
      </c>
      <c r="K111" s="4">
        <v>652000</v>
      </c>
      <c r="L111" s="4">
        <v>652000</v>
      </c>
      <c r="M111" s="4">
        <f t="shared" si="7"/>
        <v>0</v>
      </c>
      <c r="N111" s="4">
        <v>1436</v>
      </c>
      <c r="O111" s="4">
        <f t="shared" si="8"/>
        <v>652000</v>
      </c>
      <c r="P111" s="4">
        <f t="shared" si="9"/>
        <v>0</v>
      </c>
      <c r="Q111" t="str">
        <f>IF(M111&lt;=0,"Cobrada",IF(L111&gt;0,"Parcial",IF(C111&lt;Resumen!$B$3,"Vencida",IF(C111&lt;=Resumen!$B$3+15,"Por vencer","Pendiente"))))</f>
        <v>Cobrada</v>
      </c>
      <c r="R111" s="5">
        <f>IF(M111&lt;=0,MAX(0,D111-C111),MAX(0,Resumen!$B$3-C111))</f>
        <v>25</v>
      </c>
      <c r="S111" t="str">
        <f>IF(M111&lt;=0,"Sin prioridad",IF(R111&gt;60,"Alta",IF(R111&gt;30,"Media",IF(C111&lt;=Resumen!$B$3+15,"Media","Baja"))))</f>
        <v>Sin prioridad</v>
      </c>
      <c r="T111" t="s">
        <v>87</v>
      </c>
      <c r="U111" t="s">
        <v>64</v>
      </c>
      <c r="V111" t="s">
        <v>74</v>
      </c>
      <c r="W111" s="3">
        <f t="shared" si="10"/>
        <v>45992</v>
      </c>
      <c r="X111" s="3">
        <f t="shared" si="11"/>
        <v>46054</v>
      </c>
      <c r="Y111" t="s">
        <v>167</v>
      </c>
      <c r="Z111" t="str">
        <f>IF(AND(M111&gt;0,C111&lt;Resumen!$B$3),"Sí","No")</f>
        <v>No</v>
      </c>
      <c r="AA111" t="str">
        <f t="shared" si="12"/>
        <v>No</v>
      </c>
      <c r="AB111" t="str">
        <f t="shared" si="13"/>
        <v>No</v>
      </c>
    </row>
    <row r="112" spans="1:28">
      <c r="A112" t="s">
        <v>235</v>
      </c>
      <c r="B112" s="3">
        <v>46014</v>
      </c>
      <c r="C112" s="3">
        <v>46029</v>
      </c>
      <c r="D112" s="3">
        <v>46025</v>
      </c>
      <c r="E112" t="s">
        <v>76</v>
      </c>
      <c r="F112" t="s">
        <v>77</v>
      </c>
      <c r="G112" t="s">
        <v>59</v>
      </c>
      <c r="H112" t="s">
        <v>70</v>
      </c>
      <c r="I112" t="s">
        <v>71</v>
      </c>
      <c r="J112" t="s">
        <v>72</v>
      </c>
      <c r="K112" s="4">
        <v>674000</v>
      </c>
      <c r="L112" s="4">
        <v>233519.56</v>
      </c>
      <c r="M112" s="4">
        <f t="shared" si="7"/>
        <v>440480.44</v>
      </c>
      <c r="N112" s="4">
        <v>1436</v>
      </c>
      <c r="O112" s="4">
        <f t="shared" si="8"/>
        <v>674000</v>
      </c>
      <c r="P112" s="4">
        <f t="shared" si="9"/>
        <v>440480.44</v>
      </c>
      <c r="Q112" t="str">
        <f>IF(M112&lt;=0,"Cobrada",IF(L112&gt;0,"Parcial",IF(C112&lt;Resumen!$B$3,"Vencida",IF(C112&lt;=Resumen!$B$3+15,"Por vencer","Pendiente"))))</f>
        <v>Parcial</v>
      </c>
      <c r="R112" s="5">
        <f>IF(M112&lt;=0,MAX(0,D112-C112),MAX(0,Resumen!$B$3-C112))</f>
        <v>175</v>
      </c>
      <c r="S112" t="str">
        <f>IF(M112&lt;=0,"Sin prioridad",IF(R112&gt;60,"Alta",IF(R112&gt;30,"Media",IF(C112&lt;=Resumen!$B$3+15,"Media","Baja"))))</f>
        <v>Alta</v>
      </c>
      <c r="T112" t="s">
        <v>73</v>
      </c>
      <c r="U112" t="s">
        <v>105</v>
      </c>
      <c r="V112" t="s">
        <v>65</v>
      </c>
      <c r="W112" s="3">
        <f t="shared" si="10"/>
        <v>45992</v>
      </c>
      <c r="X112" s="3">
        <f t="shared" si="11"/>
        <v>46023</v>
      </c>
      <c r="Y112" t="s">
        <v>167</v>
      </c>
      <c r="Z112" t="str">
        <f>IF(AND(M112&gt;0,C112&lt;Resumen!$B$3),"Sí","No")</f>
        <v>Sí</v>
      </c>
      <c r="AA112" t="str">
        <f t="shared" si="12"/>
        <v>Sí</v>
      </c>
      <c r="AB112" t="str">
        <f t="shared" si="13"/>
        <v>No</v>
      </c>
    </row>
    <row r="113" spans="1:28">
      <c r="A113" t="s">
        <v>236</v>
      </c>
      <c r="B113" s="3">
        <v>46030</v>
      </c>
      <c r="C113" s="3">
        <v>46075</v>
      </c>
      <c r="D113" s="3">
        <v>46088</v>
      </c>
      <c r="E113" t="s">
        <v>82</v>
      </c>
      <c r="F113" t="s">
        <v>15</v>
      </c>
      <c r="G113" t="s">
        <v>59</v>
      </c>
      <c r="H113" t="s">
        <v>70</v>
      </c>
      <c r="I113" t="s">
        <v>71</v>
      </c>
      <c r="J113" t="s">
        <v>72</v>
      </c>
      <c r="K113" s="4">
        <v>492000</v>
      </c>
      <c r="L113" s="4">
        <v>492000</v>
      </c>
      <c r="M113" s="4">
        <f t="shared" si="7"/>
        <v>0</v>
      </c>
      <c r="N113" s="4">
        <v>1457</v>
      </c>
      <c r="O113" s="4">
        <f t="shared" si="8"/>
        <v>492000</v>
      </c>
      <c r="P113" s="4">
        <f t="shared" si="9"/>
        <v>0</v>
      </c>
      <c r="Q113" t="str">
        <f>IF(M113&lt;=0,"Cobrada",IF(L113&gt;0,"Parcial",IF(C113&lt;Resumen!$B$3,"Vencida",IF(C113&lt;=Resumen!$B$3+15,"Por vencer","Pendiente"))))</f>
        <v>Cobrada</v>
      </c>
      <c r="R113" s="5">
        <f>IF(M113&lt;=0,MAX(0,D113-C113),MAX(0,Resumen!$B$3-C113))</f>
        <v>13</v>
      </c>
      <c r="S113" t="str">
        <f>IF(M113&lt;=0,"Sin prioridad",IF(R113&gt;60,"Alta",IF(R113&gt;30,"Media",IF(C113&lt;=Resumen!$B$3+15,"Media","Baja"))))</f>
        <v>Sin prioridad</v>
      </c>
      <c r="T113" t="s">
        <v>83</v>
      </c>
      <c r="U113" t="s">
        <v>64</v>
      </c>
      <c r="V113" t="s">
        <v>78</v>
      </c>
      <c r="W113" s="3">
        <f t="shared" si="10"/>
        <v>46023</v>
      </c>
      <c r="X113" s="3">
        <f t="shared" si="11"/>
        <v>46054</v>
      </c>
      <c r="Y113" t="s">
        <v>237</v>
      </c>
      <c r="Z113" t="str">
        <f>IF(AND(M113&gt;0,C113&lt;Resumen!$B$3),"Sí","No")</f>
        <v>No</v>
      </c>
      <c r="AA113" t="str">
        <f t="shared" si="12"/>
        <v>No</v>
      </c>
      <c r="AB113" t="str">
        <f t="shared" si="13"/>
        <v>No</v>
      </c>
    </row>
    <row r="114" spans="1:28">
      <c r="A114" t="s">
        <v>238</v>
      </c>
      <c r="B114" s="3">
        <v>46025</v>
      </c>
      <c r="C114" s="3">
        <v>46040</v>
      </c>
      <c r="D114" s="3">
        <v>46042</v>
      </c>
      <c r="E114" t="s">
        <v>97</v>
      </c>
      <c r="F114" t="s">
        <v>98</v>
      </c>
      <c r="G114" t="s">
        <v>59</v>
      </c>
      <c r="H114" t="s">
        <v>70</v>
      </c>
      <c r="I114" t="s">
        <v>71</v>
      </c>
      <c r="J114" t="s">
        <v>72</v>
      </c>
      <c r="K114" s="4">
        <v>443000</v>
      </c>
      <c r="L114" s="4">
        <v>266976.42</v>
      </c>
      <c r="M114" s="4">
        <f t="shared" si="7"/>
        <v>176023.58000000002</v>
      </c>
      <c r="N114" s="4">
        <v>1457</v>
      </c>
      <c r="O114" s="4">
        <f t="shared" si="8"/>
        <v>443000</v>
      </c>
      <c r="P114" s="4">
        <f t="shared" si="9"/>
        <v>176023.58000000002</v>
      </c>
      <c r="Q114" t="str">
        <f>IF(M114&lt;=0,"Cobrada",IF(L114&gt;0,"Parcial",IF(C114&lt;Resumen!$B$3,"Vencida",IF(C114&lt;=Resumen!$B$3+15,"Por vencer","Pendiente"))))</f>
        <v>Parcial</v>
      </c>
      <c r="R114" s="5">
        <f>IF(M114&lt;=0,MAX(0,D114-C114),MAX(0,Resumen!$B$3-C114))</f>
        <v>164</v>
      </c>
      <c r="S114" t="str">
        <f>IF(M114&lt;=0,"Sin prioridad",IF(R114&gt;60,"Alta",IF(R114&gt;30,"Media",IF(C114&lt;=Resumen!$B$3+15,"Media","Baja"))))</f>
        <v>Alta</v>
      </c>
      <c r="T114" t="s">
        <v>87</v>
      </c>
      <c r="U114" t="s">
        <v>105</v>
      </c>
      <c r="V114" t="s">
        <v>65</v>
      </c>
      <c r="W114" s="3">
        <f t="shared" si="10"/>
        <v>46023</v>
      </c>
      <c r="X114" s="3">
        <f t="shared" si="11"/>
        <v>46023</v>
      </c>
      <c r="Y114" t="s">
        <v>237</v>
      </c>
      <c r="Z114" t="str">
        <f>IF(AND(M114&gt;0,C114&lt;Resumen!$B$3),"Sí","No")</f>
        <v>Sí</v>
      </c>
      <c r="AA114" t="str">
        <f t="shared" si="12"/>
        <v>Sí</v>
      </c>
      <c r="AB114" t="str">
        <f t="shared" si="13"/>
        <v>No</v>
      </c>
    </row>
    <row r="115" spans="1:28">
      <c r="A115" t="s">
        <v>239</v>
      </c>
      <c r="B115" s="3">
        <v>46038</v>
      </c>
      <c r="C115" s="3">
        <v>46053</v>
      </c>
      <c r="D115" s="3"/>
      <c r="E115" t="s">
        <v>76</v>
      </c>
      <c r="F115" t="s">
        <v>77</v>
      </c>
      <c r="G115" t="s">
        <v>59</v>
      </c>
      <c r="H115" t="s">
        <v>70</v>
      </c>
      <c r="I115" t="s">
        <v>71</v>
      </c>
      <c r="J115" t="s">
        <v>72</v>
      </c>
      <c r="K115" s="4">
        <v>726000</v>
      </c>
      <c r="L115" s="4">
        <v>0</v>
      </c>
      <c r="M115" s="4">
        <f t="shared" si="7"/>
        <v>726000</v>
      </c>
      <c r="N115" s="4">
        <v>1457</v>
      </c>
      <c r="O115" s="4">
        <f t="shared" si="8"/>
        <v>726000</v>
      </c>
      <c r="P115" s="4">
        <f t="shared" si="9"/>
        <v>726000</v>
      </c>
      <c r="Q115" t="str">
        <f>IF(M115&lt;=0,"Cobrada",IF(L115&gt;0,"Parcial",IF(C115&lt;Resumen!$B$3,"Vencida",IF(C115&lt;=Resumen!$B$3+15,"Por vencer","Pendiente"))))</f>
        <v>Vencida</v>
      </c>
      <c r="R115" s="5">
        <f>IF(M115&lt;=0,MAX(0,D115-C115),MAX(0,Resumen!$B$3-C115))</f>
        <v>151</v>
      </c>
      <c r="S115" t="str">
        <f>IF(M115&lt;=0,"Sin prioridad",IF(R115&gt;60,"Alta",IF(R115&gt;30,"Media",IF(C115&lt;=Resumen!$B$3+15,"Media","Baja"))))</f>
        <v>Alta</v>
      </c>
      <c r="T115" t="s">
        <v>73</v>
      </c>
      <c r="U115" t="s">
        <v>88</v>
      </c>
      <c r="V115" t="s">
        <v>106</v>
      </c>
      <c r="W115" s="3">
        <f t="shared" si="10"/>
        <v>46023</v>
      </c>
      <c r="X115" s="3">
        <f t="shared" si="11"/>
        <v>46023</v>
      </c>
      <c r="Y115" t="s">
        <v>237</v>
      </c>
      <c r="Z115" t="str">
        <f>IF(AND(M115&gt;0,C115&lt;Resumen!$B$3),"Sí","No")</f>
        <v>Sí</v>
      </c>
      <c r="AA115" t="str">
        <f t="shared" si="12"/>
        <v>No</v>
      </c>
      <c r="AB115" t="str">
        <f t="shared" si="13"/>
        <v>No</v>
      </c>
    </row>
    <row r="116" spans="1:28">
      <c r="A116" t="s">
        <v>240</v>
      </c>
      <c r="B116" s="3">
        <v>46033</v>
      </c>
      <c r="C116" s="3">
        <v>46048</v>
      </c>
      <c r="D116" s="3"/>
      <c r="E116" t="s">
        <v>185</v>
      </c>
      <c r="F116" t="s">
        <v>186</v>
      </c>
      <c r="G116" t="s">
        <v>59</v>
      </c>
      <c r="H116" t="s">
        <v>60</v>
      </c>
      <c r="I116" t="s">
        <v>61</v>
      </c>
      <c r="J116" t="s">
        <v>72</v>
      </c>
      <c r="K116" s="4">
        <v>616000</v>
      </c>
      <c r="L116" s="4">
        <v>0</v>
      </c>
      <c r="M116" s="4">
        <f t="shared" si="7"/>
        <v>616000</v>
      </c>
      <c r="N116" s="4">
        <v>1457</v>
      </c>
      <c r="O116" s="4">
        <f t="shared" si="8"/>
        <v>616000</v>
      </c>
      <c r="P116" s="4">
        <f t="shared" si="9"/>
        <v>616000</v>
      </c>
      <c r="Q116" t="str">
        <f>IF(M116&lt;=0,"Cobrada",IF(L116&gt;0,"Parcial",IF(C116&lt;Resumen!$B$3,"Vencida",IF(C116&lt;=Resumen!$B$3+15,"Por vencer","Pendiente"))))</f>
        <v>Vencida</v>
      </c>
      <c r="R116" s="5">
        <f>IF(M116&lt;=0,MAX(0,D116-C116),MAX(0,Resumen!$B$3-C116))</f>
        <v>156</v>
      </c>
      <c r="S116" t="str">
        <f>IF(M116&lt;=0,"Sin prioridad",IF(R116&gt;60,"Alta",IF(R116&gt;30,"Media",IF(C116&lt;=Resumen!$B$3+15,"Media","Baja"))))</f>
        <v>Alta</v>
      </c>
      <c r="T116" t="s">
        <v>63</v>
      </c>
      <c r="U116" t="s">
        <v>91</v>
      </c>
      <c r="V116" t="s">
        <v>80</v>
      </c>
      <c r="W116" s="3">
        <f t="shared" si="10"/>
        <v>46023</v>
      </c>
      <c r="X116" s="3">
        <f t="shared" si="11"/>
        <v>46023</v>
      </c>
      <c r="Y116" t="s">
        <v>237</v>
      </c>
      <c r="Z116" t="str">
        <f>IF(AND(M116&gt;0,C116&lt;Resumen!$B$3),"Sí","No")</f>
        <v>Sí</v>
      </c>
      <c r="AA116" t="str">
        <f t="shared" si="12"/>
        <v>No</v>
      </c>
      <c r="AB116" t="str">
        <f t="shared" si="13"/>
        <v>No</v>
      </c>
    </row>
    <row r="117" spans="1:28">
      <c r="A117" t="s">
        <v>241</v>
      </c>
      <c r="B117" s="3">
        <v>46033</v>
      </c>
      <c r="C117" s="3">
        <v>46078</v>
      </c>
      <c r="D117" s="3">
        <v>46080</v>
      </c>
      <c r="E117" t="s">
        <v>143</v>
      </c>
      <c r="F117" t="s">
        <v>144</v>
      </c>
      <c r="G117" t="s">
        <v>59</v>
      </c>
      <c r="H117" t="s">
        <v>70</v>
      </c>
      <c r="I117" t="s">
        <v>71</v>
      </c>
      <c r="J117" t="s">
        <v>72</v>
      </c>
      <c r="K117" s="4">
        <v>942000</v>
      </c>
      <c r="L117" s="4">
        <v>942000</v>
      </c>
      <c r="M117" s="4">
        <f t="shared" si="7"/>
        <v>0</v>
      </c>
      <c r="N117" s="4">
        <v>1457</v>
      </c>
      <c r="O117" s="4">
        <f t="shared" si="8"/>
        <v>942000</v>
      </c>
      <c r="P117" s="4">
        <f t="shared" si="9"/>
        <v>0</v>
      </c>
      <c r="Q117" t="str">
        <f>IF(M117&lt;=0,"Cobrada",IF(L117&gt;0,"Parcial",IF(C117&lt;Resumen!$B$3,"Vencida",IF(C117&lt;=Resumen!$B$3+15,"Por vencer","Pendiente"))))</f>
        <v>Cobrada</v>
      </c>
      <c r="R117" s="5">
        <f>IF(M117&lt;=0,MAX(0,D117-C117),MAX(0,Resumen!$B$3-C117))</f>
        <v>2</v>
      </c>
      <c r="S117" t="str">
        <f>IF(M117&lt;=0,"Sin prioridad",IF(R117&gt;60,"Alta",IF(R117&gt;30,"Media",IF(C117&lt;=Resumen!$B$3+15,"Media","Baja"))))</f>
        <v>Sin prioridad</v>
      </c>
      <c r="T117" t="s">
        <v>87</v>
      </c>
      <c r="U117" t="s">
        <v>64</v>
      </c>
      <c r="V117" t="s">
        <v>65</v>
      </c>
      <c r="W117" s="3">
        <f t="shared" si="10"/>
        <v>46023</v>
      </c>
      <c r="X117" s="3">
        <f t="shared" si="11"/>
        <v>46054</v>
      </c>
      <c r="Y117" t="s">
        <v>237</v>
      </c>
      <c r="Z117" t="str">
        <f>IF(AND(M117&gt;0,C117&lt;Resumen!$B$3),"Sí","No")</f>
        <v>No</v>
      </c>
      <c r="AA117" t="str">
        <f t="shared" si="12"/>
        <v>No</v>
      </c>
      <c r="AB117" t="str">
        <f t="shared" si="13"/>
        <v>No</v>
      </c>
    </row>
    <row r="118" spans="1:28">
      <c r="A118" t="s">
        <v>242</v>
      </c>
      <c r="B118" s="3">
        <v>46050</v>
      </c>
      <c r="C118" s="3">
        <v>46095</v>
      </c>
      <c r="D118" s="3">
        <v>46132</v>
      </c>
      <c r="E118" t="s">
        <v>160</v>
      </c>
      <c r="F118" t="s">
        <v>17</v>
      </c>
      <c r="G118" t="s">
        <v>59</v>
      </c>
      <c r="H118" t="s">
        <v>70</v>
      </c>
      <c r="I118" t="s">
        <v>71</v>
      </c>
      <c r="J118" t="s">
        <v>62</v>
      </c>
      <c r="K118" s="4">
        <v>850</v>
      </c>
      <c r="L118" s="4">
        <v>850</v>
      </c>
      <c r="M118" s="4">
        <f t="shared" si="7"/>
        <v>0</v>
      </c>
      <c r="N118" s="4">
        <v>1457</v>
      </c>
      <c r="O118" s="4">
        <f t="shared" si="8"/>
        <v>1238450</v>
      </c>
      <c r="P118" s="4">
        <f t="shared" si="9"/>
        <v>0</v>
      </c>
      <c r="Q118" t="str">
        <f>IF(M118&lt;=0,"Cobrada",IF(L118&gt;0,"Parcial",IF(C118&lt;Resumen!$B$3,"Vencida",IF(C118&lt;=Resumen!$B$3+15,"Por vencer","Pendiente"))))</f>
        <v>Cobrada</v>
      </c>
      <c r="R118" s="5">
        <f>IF(M118&lt;=0,MAX(0,D118-C118),MAX(0,Resumen!$B$3-C118))</f>
        <v>37</v>
      </c>
      <c r="S118" t="str">
        <f>IF(M118&lt;=0,"Sin prioridad",IF(R118&gt;60,"Alta",IF(R118&gt;30,"Media",IF(C118&lt;=Resumen!$B$3+15,"Media","Baja"))))</f>
        <v>Sin prioridad</v>
      </c>
      <c r="T118" t="s">
        <v>83</v>
      </c>
      <c r="U118" t="s">
        <v>64</v>
      </c>
      <c r="V118" t="s">
        <v>74</v>
      </c>
      <c r="W118" s="3">
        <f t="shared" si="10"/>
        <v>46023</v>
      </c>
      <c r="X118" s="3">
        <f t="shared" si="11"/>
        <v>46082</v>
      </c>
      <c r="Y118" t="s">
        <v>237</v>
      </c>
      <c r="Z118" t="str">
        <f>IF(AND(M118&gt;0,C118&lt;Resumen!$B$3),"Sí","No")</f>
        <v>No</v>
      </c>
      <c r="AA118" t="str">
        <f t="shared" si="12"/>
        <v>No</v>
      </c>
      <c r="AB118" t="str">
        <f t="shared" si="13"/>
        <v>Sí</v>
      </c>
    </row>
    <row r="119" spans="1:28">
      <c r="A119" t="s">
        <v>243</v>
      </c>
      <c r="B119" s="3">
        <v>46029</v>
      </c>
      <c r="C119" s="3">
        <v>46044</v>
      </c>
      <c r="D119" s="3">
        <v>46084</v>
      </c>
      <c r="E119" t="s">
        <v>58</v>
      </c>
      <c r="F119" t="s">
        <v>10</v>
      </c>
      <c r="G119" t="s">
        <v>59</v>
      </c>
      <c r="H119" t="s">
        <v>110</v>
      </c>
      <c r="I119" t="s">
        <v>111</v>
      </c>
      <c r="J119" t="s">
        <v>72</v>
      </c>
      <c r="K119" s="4">
        <v>387000</v>
      </c>
      <c r="L119" s="4">
        <v>387000</v>
      </c>
      <c r="M119" s="4">
        <f t="shared" si="7"/>
        <v>0</v>
      </c>
      <c r="N119" s="4">
        <v>1457</v>
      </c>
      <c r="O119" s="4">
        <f t="shared" si="8"/>
        <v>387000</v>
      </c>
      <c r="P119" s="4">
        <f t="shared" si="9"/>
        <v>0</v>
      </c>
      <c r="Q119" t="str">
        <f>IF(M119&lt;=0,"Cobrada",IF(L119&gt;0,"Parcial",IF(C119&lt;Resumen!$B$3,"Vencida",IF(C119&lt;=Resumen!$B$3+15,"Por vencer","Pendiente"))))</f>
        <v>Cobrada</v>
      </c>
      <c r="R119" s="5">
        <f>IF(M119&lt;=0,MAX(0,D119-C119),MAX(0,Resumen!$B$3-C119))</f>
        <v>40</v>
      </c>
      <c r="S119" t="str">
        <f>IF(M119&lt;=0,"Sin prioridad",IF(R119&gt;60,"Alta",IF(R119&gt;30,"Media",IF(C119&lt;=Resumen!$B$3+15,"Media","Baja"))))</f>
        <v>Sin prioridad</v>
      </c>
      <c r="T119" t="s">
        <v>63</v>
      </c>
      <c r="U119" t="s">
        <v>64</v>
      </c>
      <c r="V119" t="s">
        <v>78</v>
      </c>
      <c r="W119" s="3">
        <f t="shared" si="10"/>
        <v>46023</v>
      </c>
      <c r="X119" s="3">
        <f t="shared" si="11"/>
        <v>46023</v>
      </c>
      <c r="Y119" t="s">
        <v>237</v>
      </c>
      <c r="Z119" t="str">
        <f>IF(AND(M119&gt;0,C119&lt;Resumen!$B$3),"Sí","No")</f>
        <v>No</v>
      </c>
      <c r="AA119" t="str">
        <f t="shared" si="12"/>
        <v>No</v>
      </c>
      <c r="AB119" t="str">
        <f t="shared" si="13"/>
        <v>No</v>
      </c>
    </row>
    <row r="120" spans="1:28">
      <c r="A120" t="s">
        <v>244</v>
      </c>
      <c r="B120" s="3">
        <v>46035</v>
      </c>
      <c r="C120" s="3">
        <v>46050</v>
      </c>
      <c r="D120" s="3"/>
      <c r="E120" t="s">
        <v>58</v>
      </c>
      <c r="F120" t="s">
        <v>10</v>
      </c>
      <c r="G120" t="s">
        <v>59</v>
      </c>
      <c r="H120" t="s">
        <v>140</v>
      </c>
      <c r="I120" t="s">
        <v>141</v>
      </c>
      <c r="J120" t="s">
        <v>62</v>
      </c>
      <c r="K120" s="4">
        <v>1050</v>
      </c>
      <c r="L120" s="4">
        <v>0</v>
      </c>
      <c r="M120" s="4">
        <f t="shared" si="7"/>
        <v>1050</v>
      </c>
      <c r="N120" s="4">
        <v>1457</v>
      </c>
      <c r="O120" s="4">
        <f t="shared" si="8"/>
        <v>1529850</v>
      </c>
      <c r="P120" s="4">
        <f t="shared" si="9"/>
        <v>1529850</v>
      </c>
      <c r="Q120" t="str">
        <f>IF(M120&lt;=0,"Cobrada",IF(L120&gt;0,"Parcial",IF(C120&lt;Resumen!$B$3,"Vencida",IF(C120&lt;=Resumen!$B$3+15,"Por vencer","Pendiente"))))</f>
        <v>Vencida</v>
      </c>
      <c r="R120" s="5">
        <f>IF(M120&lt;=0,MAX(0,D120-C120),MAX(0,Resumen!$B$3-C120))</f>
        <v>154</v>
      </c>
      <c r="S120" t="str">
        <f>IF(M120&lt;=0,"Sin prioridad",IF(R120&gt;60,"Alta",IF(R120&gt;30,"Media",IF(C120&lt;=Resumen!$B$3+15,"Media","Baja"))))</f>
        <v>Alta</v>
      </c>
      <c r="T120" t="s">
        <v>63</v>
      </c>
      <c r="U120" t="s">
        <v>91</v>
      </c>
      <c r="W120" s="3">
        <f t="shared" si="10"/>
        <v>46023</v>
      </c>
      <c r="X120" s="3">
        <f t="shared" si="11"/>
        <v>46023</v>
      </c>
      <c r="Y120" t="s">
        <v>237</v>
      </c>
      <c r="Z120" t="str">
        <f>IF(AND(M120&gt;0,C120&lt;Resumen!$B$3),"Sí","No")</f>
        <v>Sí</v>
      </c>
      <c r="AA120" t="str">
        <f t="shared" si="12"/>
        <v>No</v>
      </c>
      <c r="AB120" t="str">
        <f t="shared" si="13"/>
        <v>Sí</v>
      </c>
    </row>
    <row r="121" spans="1:28">
      <c r="A121" t="s">
        <v>245</v>
      </c>
      <c r="B121" s="3">
        <v>46048</v>
      </c>
      <c r="C121" s="3">
        <v>46063</v>
      </c>
      <c r="D121" s="3">
        <v>46075</v>
      </c>
      <c r="E121" t="s">
        <v>108</v>
      </c>
      <c r="F121" t="s">
        <v>109</v>
      </c>
      <c r="G121" t="s">
        <v>59</v>
      </c>
      <c r="H121" t="s">
        <v>110</v>
      </c>
      <c r="I121" t="s">
        <v>111</v>
      </c>
      <c r="J121" t="s">
        <v>72</v>
      </c>
      <c r="K121" s="4">
        <v>455000</v>
      </c>
      <c r="L121" s="4">
        <v>455000</v>
      </c>
      <c r="M121" s="4">
        <f t="shared" si="7"/>
        <v>0</v>
      </c>
      <c r="N121" s="4">
        <v>1457</v>
      </c>
      <c r="O121" s="4">
        <f t="shared" si="8"/>
        <v>455000</v>
      </c>
      <c r="P121" s="4">
        <f t="shared" si="9"/>
        <v>0</v>
      </c>
      <c r="Q121" t="str">
        <f>IF(M121&lt;=0,"Cobrada",IF(L121&gt;0,"Parcial",IF(C121&lt;Resumen!$B$3,"Vencida",IF(C121&lt;=Resumen!$B$3+15,"Por vencer","Pendiente"))))</f>
        <v>Cobrada</v>
      </c>
      <c r="R121" s="5">
        <f>IF(M121&lt;=0,MAX(0,D121-C121),MAX(0,Resumen!$B$3-C121))</f>
        <v>12</v>
      </c>
      <c r="S121" t="str">
        <f>IF(M121&lt;=0,"Sin prioridad",IF(R121&gt;60,"Alta",IF(R121&gt;30,"Media",IF(C121&lt;=Resumen!$B$3+15,"Media","Baja"))))</f>
        <v>Sin prioridad</v>
      </c>
      <c r="T121" t="s">
        <v>63</v>
      </c>
      <c r="U121" t="s">
        <v>64</v>
      </c>
      <c r="W121" s="3">
        <f t="shared" si="10"/>
        <v>46023</v>
      </c>
      <c r="X121" s="3">
        <f t="shared" si="11"/>
        <v>46054</v>
      </c>
      <c r="Y121" t="s">
        <v>237</v>
      </c>
      <c r="Z121" t="str">
        <f>IF(AND(M121&gt;0,C121&lt;Resumen!$B$3),"Sí","No")</f>
        <v>No</v>
      </c>
      <c r="AA121" t="str">
        <f t="shared" si="12"/>
        <v>No</v>
      </c>
      <c r="AB121" t="str">
        <f t="shared" si="13"/>
        <v>No</v>
      </c>
    </row>
    <row r="122" spans="1:28">
      <c r="A122" t="s">
        <v>246</v>
      </c>
      <c r="B122" s="3">
        <v>46048</v>
      </c>
      <c r="C122" s="3">
        <v>46108</v>
      </c>
      <c r="D122" s="3"/>
      <c r="E122" t="s">
        <v>93</v>
      </c>
      <c r="F122" t="s">
        <v>19</v>
      </c>
      <c r="G122" t="s">
        <v>59</v>
      </c>
      <c r="H122" t="s">
        <v>140</v>
      </c>
      <c r="I122" t="s">
        <v>141</v>
      </c>
      <c r="J122" t="s">
        <v>62</v>
      </c>
      <c r="K122" s="4">
        <v>1200</v>
      </c>
      <c r="L122" s="4">
        <v>0</v>
      </c>
      <c r="M122" s="4">
        <f t="shared" si="7"/>
        <v>1200</v>
      </c>
      <c r="N122" s="4">
        <v>1457</v>
      </c>
      <c r="O122" s="4">
        <f t="shared" si="8"/>
        <v>1748400</v>
      </c>
      <c r="P122" s="4">
        <f t="shared" si="9"/>
        <v>1748400</v>
      </c>
      <c r="Q122" t="str">
        <f>IF(M122&lt;=0,"Cobrada",IF(L122&gt;0,"Parcial",IF(C122&lt;Resumen!$B$3,"Vencida",IF(C122&lt;=Resumen!$B$3+15,"Por vencer","Pendiente"))))</f>
        <v>Vencida</v>
      </c>
      <c r="R122" s="5">
        <f>IF(M122&lt;=0,MAX(0,D122-C122),MAX(0,Resumen!$B$3-C122))</f>
        <v>96</v>
      </c>
      <c r="S122" t="str">
        <f>IF(M122&lt;=0,"Sin prioridad",IF(R122&gt;60,"Alta",IF(R122&gt;30,"Media",IF(C122&lt;=Resumen!$B$3+15,"Media","Baja"))))</f>
        <v>Alta</v>
      </c>
      <c r="T122" t="s">
        <v>87</v>
      </c>
      <c r="U122" t="s">
        <v>179</v>
      </c>
      <c r="V122" t="s">
        <v>74</v>
      </c>
      <c r="W122" s="3">
        <f t="shared" si="10"/>
        <v>46023</v>
      </c>
      <c r="X122" s="3">
        <f t="shared" si="11"/>
        <v>46082</v>
      </c>
      <c r="Y122" t="s">
        <v>237</v>
      </c>
      <c r="Z122" t="str">
        <f>IF(AND(M122&gt;0,C122&lt;Resumen!$B$3),"Sí","No")</f>
        <v>Sí</v>
      </c>
      <c r="AA122" t="str">
        <f t="shared" si="12"/>
        <v>No</v>
      </c>
      <c r="AB122" t="str">
        <f t="shared" si="13"/>
        <v>Sí</v>
      </c>
    </row>
    <row r="123" spans="1:28">
      <c r="A123" t="s">
        <v>247</v>
      </c>
      <c r="B123" s="3">
        <v>46027</v>
      </c>
      <c r="C123" s="3">
        <v>46072</v>
      </c>
      <c r="D123" s="3"/>
      <c r="E123" t="s">
        <v>104</v>
      </c>
      <c r="F123" t="s">
        <v>28</v>
      </c>
      <c r="G123" t="s">
        <v>59</v>
      </c>
      <c r="H123" t="s">
        <v>60</v>
      </c>
      <c r="I123" t="s">
        <v>61</v>
      </c>
      <c r="J123" t="s">
        <v>72</v>
      </c>
      <c r="K123" s="4">
        <v>523000</v>
      </c>
      <c r="L123" s="4">
        <v>0</v>
      </c>
      <c r="M123" s="4">
        <f t="shared" si="7"/>
        <v>523000</v>
      </c>
      <c r="N123" s="4">
        <v>1457</v>
      </c>
      <c r="O123" s="4">
        <f t="shared" si="8"/>
        <v>523000</v>
      </c>
      <c r="P123" s="4">
        <f t="shared" si="9"/>
        <v>523000</v>
      </c>
      <c r="Q123" t="str">
        <f>IF(M123&lt;=0,"Cobrada",IF(L123&gt;0,"Parcial",IF(C123&lt;Resumen!$B$3,"Vencida",IF(C123&lt;=Resumen!$B$3+15,"Por vencer","Pendiente"))))</f>
        <v>Vencida</v>
      </c>
      <c r="R123" s="5">
        <f>IF(M123&lt;=0,MAX(0,D123-C123),MAX(0,Resumen!$B$3-C123))</f>
        <v>132</v>
      </c>
      <c r="S123" t="str">
        <f>IF(M123&lt;=0,"Sin prioridad",IF(R123&gt;60,"Alta",IF(R123&gt;30,"Media",IF(C123&lt;=Resumen!$B$3+15,"Media","Baja"))))</f>
        <v>Alta</v>
      </c>
      <c r="T123" t="s">
        <v>83</v>
      </c>
      <c r="U123" t="s">
        <v>88</v>
      </c>
      <c r="V123" t="s">
        <v>65</v>
      </c>
      <c r="W123" s="3">
        <f t="shared" si="10"/>
        <v>46023</v>
      </c>
      <c r="X123" s="3">
        <f t="shared" si="11"/>
        <v>46054</v>
      </c>
      <c r="Y123" t="s">
        <v>237</v>
      </c>
      <c r="Z123" t="str">
        <f>IF(AND(M123&gt;0,C123&lt;Resumen!$B$3),"Sí","No")</f>
        <v>Sí</v>
      </c>
      <c r="AA123" t="str">
        <f t="shared" si="12"/>
        <v>No</v>
      </c>
      <c r="AB123" t="str">
        <f t="shared" si="13"/>
        <v>No</v>
      </c>
    </row>
    <row r="124" spans="1:28">
      <c r="A124" t="s">
        <v>248</v>
      </c>
      <c r="B124" s="3">
        <v>46034</v>
      </c>
      <c r="C124" s="3">
        <v>46079</v>
      </c>
      <c r="D124" s="3"/>
      <c r="E124" t="s">
        <v>120</v>
      </c>
      <c r="F124" t="s">
        <v>14</v>
      </c>
      <c r="G124" t="s">
        <v>59</v>
      </c>
      <c r="H124" t="s">
        <v>70</v>
      </c>
      <c r="I124" t="s">
        <v>71</v>
      </c>
      <c r="J124" t="s">
        <v>72</v>
      </c>
      <c r="K124" s="4">
        <v>732000</v>
      </c>
      <c r="L124" s="4">
        <v>0</v>
      </c>
      <c r="M124" s="4">
        <f t="shared" si="7"/>
        <v>732000</v>
      </c>
      <c r="N124" s="4">
        <v>1457</v>
      </c>
      <c r="O124" s="4">
        <f t="shared" si="8"/>
        <v>732000</v>
      </c>
      <c r="P124" s="4">
        <f t="shared" si="9"/>
        <v>732000</v>
      </c>
      <c r="Q124" t="str">
        <f>IF(M124&lt;=0,"Cobrada",IF(L124&gt;0,"Parcial",IF(C124&lt;Resumen!$B$3,"Vencida",IF(C124&lt;=Resumen!$B$3+15,"Por vencer","Pendiente"))))</f>
        <v>Vencida</v>
      </c>
      <c r="R124" s="5">
        <f>IF(M124&lt;=0,MAX(0,D124-C124),MAX(0,Resumen!$B$3-C124))</f>
        <v>125</v>
      </c>
      <c r="S124" t="str">
        <f>IF(M124&lt;=0,"Sin prioridad",IF(R124&gt;60,"Alta",IF(R124&gt;30,"Media",IF(C124&lt;=Resumen!$B$3+15,"Media","Baja"))))</f>
        <v>Alta</v>
      </c>
      <c r="T124" t="s">
        <v>63</v>
      </c>
      <c r="U124" t="s">
        <v>88</v>
      </c>
      <c r="V124" t="s">
        <v>74</v>
      </c>
      <c r="W124" s="3">
        <f t="shared" si="10"/>
        <v>46023</v>
      </c>
      <c r="X124" s="3">
        <f t="shared" si="11"/>
        <v>46054</v>
      </c>
      <c r="Y124" t="s">
        <v>237</v>
      </c>
      <c r="Z124" t="str">
        <f>IF(AND(M124&gt;0,C124&lt;Resumen!$B$3),"Sí","No")</f>
        <v>Sí</v>
      </c>
      <c r="AA124" t="str">
        <f t="shared" si="12"/>
        <v>No</v>
      </c>
      <c r="AB124" t="str">
        <f t="shared" si="13"/>
        <v>No</v>
      </c>
    </row>
    <row r="125" spans="1:28">
      <c r="A125" t="s">
        <v>249</v>
      </c>
      <c r="B125" s="3">
        <v>46024</v>
      </c>
      <c r="C125" s="3">
        <v>46039</v>
      </c>
      <c r="D125" s="3">
        <v>46053</v>
      </c>
      <c r="E125" t="s">
        <v>108</v>
      </c>
      <c r="F125" t="s">
        <v>109</v>
      </c>
      <c r="G125" t="s">
        <v>59</v>
      </c>
      <c r="H125" t="s">
        <v>70</v>
      </c>
      <c r="I125" t="s">
        <v>71</v>
      </c>
      <c r="J125" t="s">
        <v>72</v>
      </c>
      <c r="K125" s="4">
        <v>641000</v>
      </c>
      <c r="L125" s="4">
        <v>641000</v>
      </c>
      <c r="M125" s="4">
        <f t="shared" si="7"/>
        <v>0</v>
      </c>
      <c r="N125" s="4">
        <v>1457</v>
      </c>
      <c r="O125" s="4">
        <f t="shared" si="8"/>
        <v>641000</v>
      </c>
      <c r="P125" s="4">
        <f t="shared" si="9"/>
        <v>0</v>
      </c>
      <c r="Q125" t="str">
        <f>IF(M125&lt;=0,"Cobrada",IF(L125&gt;0,"Parcial",IF(C125&lt;Resumen!$B$3,"Vencida",IF(C125&lt;=Resumen!$B$3+15,"Por vencer","Pendiente"))))</f>
        <v>Cobrada</v>
      </c>
      <c r="R125" s="5">
        <f>IF(M125&lt;=0,MAX(0,D125-C125),MAX(0,Resumen!$B$3-C125))</f>
        <v>14</v>
      </c>
      <c r="S125" t="str">
        <f>IF(M125&lt;=0,"Sin prioridad",IF(R125&gt;60,"Alta",IF(R125&gt;30,"Media",IF(C125&lt;=Resumen!$B$3+15,"Media","Baja"))))</f>
        <v>Sin prioridad</v>
      </c>
      <c r="T125" t="s">
        <v>63</v>
      </c>
      <c r="U125" t="s">
        <v>64</v>
      </c>
      <c r="W125" s="3">
        <f t="shared" si="10"/>
        <v>46023</v>
      </c>
      <c r="X125" s="3">
        <f t="shared" si="11"/>
        <v>46023</v>
      </c>
      <c r="Y125" t="s">
        <v>237</v>
      </c>
      <c r="Z125" t="str">
        <f>IF(AND(M125&gt;0,C125&lt;Resumen!$B$3),"Sí","No")</f>
        <v>No</v>
      </c>
      <c r="AA125" t="str">
        <f t="shared" si="12"/>
        <v>No</v>
      </c>
      <c r="AB125" t="str">
        <f t="shared" si="13"/>
        <v>No</v>
      </c>
    </row>
    <row r="126" spans="1:28">
      <c r="A126" t="s">
        <v>250</v>
      </c>
      <c r="B126" s="3">
        <v>46050</v>
      </c>
      <c r="C126" s="3">
        <v>46095</v>
      </c>
      <c r="D126" s="3">
        <v>46121</v>
      </c>
      <c r="E126" t="s">
        <v>160</v>
      </c>
      <c r="F126" t="s">
        <v>17</v>
      </c>
      <c r="G126" t="s">
        <v>59</v>
      </c>
      <c r="H126" t="s">
        <v>140</v>
      </c>
      <c r="I126" t="s">
        <v>141</v>
      </c>
      <c r="J126" t="s">
        <v>62</v>
      </c>
      <c r="K126" s="4">
        <v>1000</v>
      </c>
      <c r="L126" s="4">
        <v>1000</v>
      </c>
      <c r="M126" s="4">
        <f t="shared" si="7"/>
        <v>0</v>
      </c>
      <c r="N126" s="4">
        <v>1457</v>
      </c>
      <c r="O126" s="4">
        <f t="shared" si="8"/>
        <v>1457000</v>
      </c>
      <c r="P126" s="4">
        <f t="shared" si="9"/>
        <v>0</v>
      </c>
      <c r="Q126" t="str">
        <f>IF(M126&lt;=0,"Cobrada",IF(L126&gt;0,"Parcial",IF(C126&lt;Resumen!$B$3,"Vencida",IF(C126&lt;=Resumen!$B$3+15,"Por vencer","Pendiente"))))</f>
        <v>Cobrada</v>
      </c>
      <c r="R126" s="5">
        <f>IF(M126&lt;=0,MAX(0,D126-C126),MAX(0,Resumen!$B$3-C126))</f>
        <v>26</v>
      </c>
      <c r="S126" t="str">
        <f>IF(M126&lt;=0,"Sin prioridad",IF(R126&gt;60,"Alta",IF(R126&gt;30,"Media",IF(C126&lt;=Resumen!$B$3+15,"Media","Baja"))))</f>
        <v>Sin prioridad</v>
      </c>
      <c r="T126" t="s">
        <v>83</v>
      </c>
      <c r="U126" t="s">
        <v>64</v>
      </c>
      <c r="V126" t="s">
        <v>80</v>
      </c>
      <c r="W126" s="3">
        <f t="shared" si="10"/>
        <v>46023</v>
      </c>
      <c r="X126" s="3">
        <f t="shared" si="11"/>
        <v>46082</v>
      </c>
      <c r="Y126" t="s">
        <v>237</v>
      </c>
      <c r="Z126" t="str">
        <f>IF(AND(M126&gt;0,C126&lt;Resumen!$B$3),"Sí","No")</f>
        <v>No</v>
      </c>
      <c r="AA126" t="str">
        <f t="shared" si="12"/>
        <v>No</v>
      </c>
      <c r="AB126" t="str">
        <f t="shared" si="13"/>
        <v>Sí</v>
      </c>
    </row>
    <row r="127" spans="1:28">
      <c r="A127" t="s">
        <v>251</v>
      </c>
      <c r="B127" s="3">
        <v>46025</v>
      </c>
      <c r="C127" s="3">
        <v>46055</v>
      </c>
      <c r="D127" s="3"/>
      <c r="E127" t="s">
        <v>118</v>
      </c>
      <c r="F127" t="s">
        <v>22</v>
      </c>
      <c r="G127" t="s">
        <v>59</v>
      </c>
      <c r="H127" t="s">
        <v>110</v>
      </c>
      <c r="I127" t="s">
        <v>111</v>
      </c>
      <c r="J127" t="s">
        <v>72</v>
      </c>
      <c r="K127" s="4">
        <v>1141000</v>
      </c>
      <c r="L127" s="4">
        <v>0</v>
      </c>
      <c r="M127" s="4">
        <f t="shared" si="7"/>
        <v>1141000</v>
      </c>
      <c r="N127" s="4">
        <v>1457</v>
      </c>
      <c r="O127" s="4">
        <f t="shared" si="8"/>
        <v>1141000</v>
      </c>
      <c r="P127" s="4">
        <f t="shared" si="9"/>
        <v>1141000</v>
      </c>
      <c r="Q127" t="str">
        <f>IF(M127&lt;=0,"Cobrada",IF(L127&gt;0,"Parcial",IF(C127&lt;Resumen!$B$3,"Vencida",IF(C127&lt;=Resumen!$B$3+15,"Por vencer","Pendiente"))))</f>
        <v>Vencida</v>
      </c>
      <c r="R127" s="5">
        <f>IF(M127&lt;=0,MAX(0,D127-C127),MAX(0,Resumen!$B$3-C127))</f>
        <v>149</v>
      </c>
      <c r="S127" t="str">
        <f>IF(M127&lt;=0,"Sin prioridad",IF(R127&gt;60,"Alta",IF(R127&gt;30,"Media",IF(C127&lt;=Resumen!$B$3+15,"Media","Baja"))))</f>
        <v>Alta</v>
      </c>
      <c r="T127" t="s">
        <v>87</v>
      </c>
      <c r="U127" t="s">
        <v>179</v>
      </c>
      <c r="V127" t="s">
        <v>78</v>
      </c>
      <c r="W127" s="3">
        <f t="shared" si="10"/>
        <v>46023</v>
      </c>
      <c r="X127" s="3">
        <f t="shared" si="11"/>
        <v>46054</v>
      </c>
      <c r="Y127" t="s">
        <v>237</v>
      </c>
      <c r="Z127" t="str">
        <f>IF(AND(M127&gt;0,C127&lt;Resumen!$B$3),"Sí","No")</f>
        <v>Sí</v>
      </c>
      <c r="AA127" t="str">
        <f t="shared" si="12"/>
        <v>No</v>
      </c>
      <c r="AB127" t="str">
        <f t="shared" si="13"/>
        <v>No</v>
      </c>
    </row>
    <row r="128" spans="1:28">
      <c r="A128" t="s">
        <v>252</v>
      </c>
      <c r="B128" s="3">
        <v>46040</v>
      </c>
      <c r="C128" s="3">
        <v>46055</v>
      </c>
      <c r="D128" s="3">
        <v>46064</v>
      </c>
      <c r="E128" t="s">
        <v>68</v>
      </c>
      <c r="F128" t="s">
        <v>69</v>
      </c>
      <c r="G128" t="s">
        <v>59</v>
      </c>
      <c r="H128" t="s">
        <v>70</v>
      </c>
      <c r="I128" t="s">
        <v>71</v>
      </c>
      <c r="J128" t="s">
        <v>72</v>
      </c>
      <c r="K128" s="4">
        <v>890000</v>
      </c>
      <c r="L128" s="4">
        <v>890000</v>
      </c>
      <c r="M128" s="4">
        <f t="shared" si="7"/>
        <v>0</v>
      </c>
      <c r="N128" s="4">
        <v>1457</v>
      </c>
      <c r="O128" s="4">
        <f t="shared" si="8"/>
        <v>890000</v>
      </c>
      <c r="P128" s="4">
        <f t="shared" si="9"/>
        <v>0</v>
      </c>
      <c r="Q128" t="str">
        <f>IF(M128&lt;=0,"Cobrada",IF(L128&gt;0,"Parcial",IF(C128&lt;Resumen!$B$3,"Vencida",IF(C128&lt;=Resumen!$B$3+15,"Por vencer","Pendiente"))))</f>
        <v>Cobrada</v>
      </c>
      <c r="R128" s="5">
        <f>IF(M128&lt;=0,MAX(0,D128-C128),MAX(0,Resumen!$B$3-C128))</f>
        <v>9</v>
      </c>
      <c r="S128" t="str">
        <f>IF(M128&lt;=0,"Sin prioridad",IF(R128&gt;60,"Alta",IF(R128&gt;30,"Media",IF(C128&lt;=Resumen!$B$3+15,"Media","Baja"))))</f>
        <v>Sin prioridad</v>
      </c>
      <c r="T128" t="s">
        <v>73</v>
      </c>
      <c r="U128" t="s">
        <v>64</v>
      </c>
      <c r="W128" s="3">
        <f t="shared" si="10"/>
        <v>46023</v>
      </c>
      <c r="X128" s="3">
        <f t="shared" si="11"/>
        <v>46054</v>
      </c>
      <c r="Y128" t="s">
        <v>237</v>
      </c>
      <c r="Z128" t="str">
        <f>IF(AND(M128&gt;0,C128&lt;Resumen!$B$3),"Sí","No")</f>
        <v>No</v>
      </c>
      <c r="AA128" t="str">
        <f t="shared" si="12"/>
        <v>No</v>
      </c>
      <c r="AB128" t="str">
        <f t="shared" si="13"/>
        <v>No</v>
      </c>
    </row>
    <row r="129" spans="1:28">
      <c r="A129" t="s">
        <v>253</v>
      </c>
      <c r="B129" s="3">
        <v>46030</v>
      </c>
      <c r="C129" s="3">
        <v>46075</v>
      </c>
      <c r="D129" s="3">
        <v>46100</v>
      </c>
      <c r="E129" t="s">
        <v>160</v>
      </c>
      <c r="F129" t="s">
        <v>17</v>
      </c>
      <c r="G129" t="s">
        <v>59</v>
      </c>
      <c r="H129" t="s">
        <v>60</v>
      </c>
      <c r="I129" t="s">
        <v>61</v>
      </c>
      <c r="J129" t="s">
        <v>62</v>
      </c>
      <c r="K129" s="4">
        <v>800</v>
      </c>
      <c r="L129" s="4">
        <v>800</v>
      </c>
      <c r="M129" s="4">
        <f t="shared" si="7"/>
        <v>0</v>
      </c>
      <c r="N129" s="4">
        <v>1457</v>
      </c>
      <c r="O129" s="4">
        <f t="shared" si="8"/>
        <v>1165600</v>
      </c>
      <c r="P129" s="4">
        <f t="shared" si="9"/>
        <v>0</v>
      </c>
      <c r="Q129" t="str">
        <f>IF(M129&lt;=0,"Cobrada",IF(L129&gt;0,"Parcial",IF(C129&lt;Resumen!$B$3,"Vencida",IF(C129&lt;=Resumen!$B$3+15,"Por vencer","Pendiente"))))</f>
        <v>Cobrada</v>
      </c>
      <c r="R129" s="5">
        <f>IF(M129&lt;=0,MAX(0,D129-C129),MAX(0,Resumen!$B$3-C129))</f>
        <v>25</v>
      </c>
      <c r="S129" t="str">
        <f>IF(M129&lt;=0,"Sin prioridad",IF(R129&gt;60,"Alta",IF(R129&gt;30,"Media",IF(C129&lt;=Resumen!$B$3+15,"Media","Baja"))))</f>
        <v>Sin prioridad</v>
      </c>
      <c r="T129" t="s">
        <v>83</v>
      </c>
      <c r="U129" t="s">
        <v>64</v>
      </c>
      <c r="V129" t="s">
        <v>74</v>
      </c>
      <c r="W129" s="3">
        <f t="shared" si="10"/>
        <v>46023</v>
      </c>
      <c r="X129" s="3">
        <f t="shared" si="11"/>
        <v>46054</v>
      </c>
      <c r="Y129" t="s">
        <v>237</v>
      </c>
      <c r="Z129" t="str">
        <f>IF(AND(M129&gt;0,C129&lt;Resumen!$B$3),"Sí","No")</f>
        <v>No</v>
      </c>
      <c r="AA129" t="str">
        <f t="shared" si="12"/>
        <v>No</v>
      </c>
      <c r="AB129" t="str">
        <f t="shared" si="13"/>
        <v>Sí</v>
      </c>
    </row>
    <row r="130" spans="1:28">
      <c r="A130" t="s">
        <v>254</v>
      </c>
      <c r="B130" s="3">
        <v>46041</v>
      </c>
      <c r="C130" s="3">
        <v>46071</v>
      </c>
      <c r="D130" s="3">
        <v>46101</v>
      </c>
      <c r="E130" t="s">
        <v>90</v>
      </c>
      <c r="F130" t="s">
        <v>12</v>
      </c>
      <c r="G130" t="s">
        <v>59</v>
      </c>
      <c r="H130" t="s">
        <v>110</v>
      </c>
      <c r="I130" t="s">
        <v>111</v>
      </c>
      <c r="J130" t="s">
        <v>72</v>
      </c>
      <c r="K130" s="4">
        <v>907000</v>
      </c>
      <c r="L130" s="4">
        <v>655974.11</v>
      </c>
      <c r="M130" s="4">
        <f t="shared" ref="M130:M193" si="14">K130-L130</f>
        <v>251025.89</v>
      </c>
      <c r="N130" s="4">
        <v>1457</v>
      </c>
      <c r="O130" s="4">
        <f t="shared" ref="O130:O193" si="15">IF(J130="USD",K130*N130,K130)</f>
        <v>907000</v>
      </c>
      <c r="P130" s="4">
        <f t="shared" ref="P130:P193" si="16">IF(J130="USD",M130*N130,M130)</f>
        <v>251025.89</v>
      </c>
      <c r="Q130" t="str">
        <f>IF(M130&lt;=0,"Cobrada",IF(L130&gt;0,"Parcial",IF(C130&lt;Resumen!$B$3,"Vencida",IF(C130&lt;=Resumen!$B$3+15,"Por vencer","Pendiente"))))</f>
        <v>Parcial</v>
      </c>
      <c r="R130" s="5">
        <f>IF(M130&lt;=0,MAX(0,D130-C130),MAX(0,Resumen!$B$3-C130))</f>
        <v>133</v>
      </c>
      <c r="S130" t="str">
        <f>IF(M130&lt;=0,"Sin prioridad",IF(R130&gt;60,"Alta",IF(R130&gt;30,"Media",IF(C130&lt;=Resumen!$B$3+15,"Media","Baja"))))</f>
        <v>Alta</v>
      </c>
      <c r="T130" t="s">
        <v>63</v>
      </c>
      <c r="U130" t="s">
        <v>105</v>
      </c>
      <c r="V130" t="s">
        <v>106</v>
      </c>
      <c r="W130" s="3">
        <f t="shared" ref="W130:W193" si="17">DATE(YEAR(B130),MONTH(B130),1)</f>
        <v>46023</v>
      </c>
      <c r="X130" s="3">
        <f t="shared" ref="X130:X193" si="18">DATE(YEAR(C130),MONTH(C130),1)</f>
        <v>46054</v>
      </c>
      <c r="Y130" t="s">
        <v>237</v>
      </c>
      <c r="Z130" t="str">
        <f>IF(AND(M130&gt;0,C130&lt;Resumen!$B$3),"Sí","No")</f>
        <v>Sí</v>
      </c>
      <c r="AA130" t="str">
        <f t="shared" ref="AA130:AA193" si="19">IF(AND(L130&gt;0,M130&gt;0),"Sí","No")</f>
        <v>Sí</v>
      </c>
      <c r="AB130" t="str">
        <f t="shared" ref="AB130:AB193" si="20">IF(J130="USD","Sí","No")</f>
        <v>No</v>
      </c>
    </row>
    <row r="131" spans="1:28">
      <c r="A131" t="s">
        <v>255</v>
      </c>
      <c r="B131" s="3">
        <v>46036</v>
      </c>
      <c r="C131" s="3">
        <v>46081</v>
      </c>
      <c r="D131" s="3">
        <v>46086</v>
      </c>
      <c r="E131" t="s">
        <v>125</v>
      </c>
      <c r="F131" t="s">
        <v>126</v>
      </c>
      <c r="G131" t="s">
        <v>59</v>
      </c>
      <c r="H131" t="s">
        <v>70</v>
      </c>
      <c r="I131" t="s">
        <v>71</v>
      </c>
      <c r="J131" t="s">
        <v>72</v>
      </c>
      <c r="K131" s="4">
        <v>594000</v>
      </c>
      <c r="L131" s="4">
        <v>594000</v>
      </c>
      <c r="M131" s="4">
        <f t="shared" si="14"/>
        <v>0</v>
      </c>
      <c r="N131" s="4">
        <v>1457</v>
      </c>
      <c r="O131" s="4">
        <f t="shared" si="15"/>
        <v>594000</v>
      </c>
      <c r="P131" s="4">
        <f t="shared" si="16"/>
        <v>0</v>
      </c>
      <c r="Q131" t="str">
        <f>IF(M131&lt;=0,"Cobrada",IF(L131&gt;0,"Parcial",IF(C131&lt;Resumen!$B$3,"Vencida",IF(C131&lt;=Resumen!$B$3+15,"Por vencer","Pendiente"))))</f>
        <v>Cobrada</v>
      </c>
      <c r="R131" s="5">
        <f>IF(M131&lt;=0,MAX(0,D131-C131),MAX(0,Resumen!$B$3-C131))</f>
        <v>5</v>
      </c>
      <c r="S131" t="str">
        <f>IF(M131&lt;=0,"Sin prioridad",IF(R131&gt;60,"Alta",IF(R131&gt;30,"Media",IF(C131&lt;=Resumen!$B$3+15,"Media","Baja"))))</f>
        <v>Sin prioridad</v>
      </c>
      <c r="T131" t="s">
        <v>73</v>
      </c>
      <c r="U131" t="s">
        <v>64</v>
      </c>
      <c r="V131" t="s">
        <v>74</v>
      </c>
      <c r="W131" s="3">
        <f t="shared" si="17"/>
        <v>46023</v>
      </c>
      <c r="X131" s="3">
        <f t="shared" si="18"/>
        <v>46054</v>
      </c>
      <c r="Y131" t="s">
        <v>237</v>
      </c>
      <c r="Z131" t="str">
        <f>IF(AND(M131&gt;0,C131&lt;Resumen!$B$3),"Sí","No")</f>
        <v>No</v>
      </c>
      <c r="AA131" t="str">
        <f t="shared" si="19"/>
        <v>No</v>
      </c>
      <c r="AB131" t="str">
        <f t="shared" si="20"/>
        <v>No</v>
      </c>
    </row>
    <row r="132" spans="1:28">
      <c r="A132" t="s">
        <v>256</v>
      </c>
      <c r="B132" s="3">
        <v>46041</v>
      </c>
      <c r="C132" s="3">
        <v>46086</v>
      </c>
      <c r="D132" s="3">
        <v>46090</v>
      </c>
      <c r="E132" t="s">
        <v>129</v>
      </c>
      <c r="F132" t="s">
        <v>130</v>
      </c>
      <c r="G132" t="s">
        <v>59</v>
      </c>
      <c r="H132" t="s">
        <v>60</v>
      </c>
      <c r="I132" t="s">
        <v>61</v>
      </c>
      <c r="J132" t="s">
        <v>72</v>
      </c>
      <c r="K132" s="4">
        <v>514000</v>
      </c>
      <c r="L132" s="4">
        <v>514000</v>
      </c>
      <c r="M132" s="4">
        <f t="shared" si="14"/>
        <v>0</v>
      </c>
      <c r="N132" s="4">
        <v>1457</v>
      </c>
      <c r="O132" s="4">
        <f t="shared" si="15"/>
        <v>514000</v>
      </c>
      <c r="P132" s="4">
        <f t="shared" si="16"/>
        <v>0</v>
      </c>
      <c r="Q132" t="str">
        <f>IF(M132&lt;=0,"Cobrada",IF(L132&gt;0,"Parcial",IF(C132&lt;Resumen!$B$3,"Vencida",IF(C132&lt;=Resumen!$B$3+15,"Por vencer","Pendiente"))))</f>
        <v>Cobrada</v>
      </c>
      <c r="R132" s="5">
        <f>IF(M132&lt;=0,MAX(0,D132-C132),MAX(0,Resumen!$B$3-C132))</f>
        <v>4</v>
      </c>
      <c r="S132" t="str">
        <f>IF(M132&lt;=0,"Sin prioridad",IF(R132&gt;60,"Alta",IF(R132&gt;30,"Media",IF(C132&lt;=Resumen!$B$3+15,"Media","Baja"))))</f>
        <v>Sin prioridad</v>
      </c>
      <c r="T132" t="s">
        <v>83</v>
      </c>
      <c r="U132" t="s">
        <v>64</v>
      </c>
      <c r="V132" t="s">
        <v>80</v>
      </c>
      <c r="W132" s="3">
        <f t="shared" si="17"/>
        <v>46023</v>
      </c>
      <c r="X132" s="3">
        <f t="shared" si="18"/>
        <v>46082</v>
      </c>
      <c r="Y132" t="s">
        <v>237</v>
      </c>
      <c r="Z132" t="str">
        <f>IF(AND(M132&gt;0,C132&lt;Resumen!$B$3),"Sí","No")</f>
        <v>No</v>
      </c>
      <c r="AA132" t="str">
        <f t="shared" si="19"/>
        <v>No</v>
      </c>
      <c r="AB132" t="str">
        <f t="shared" si="20"/>
        <v>No</v>
      </c>
    </row>
    <row r="133" spans="1:28">
      <c r="A133" t="s">
        <v>257</v>
      </c>
      <c r="B133" s="3">
        <v>46044</v>
      </c>
      <c r="C133" s="3">
        <v>46074</v>
      </c>
      <c r="D133" s="3">
        <v>46088</v>
      </c>
      <c r="E133" t="s">
        <v>90</v>
      </c>
      <c r="F133" t="s">
        <v>12</v>
      </c>
      <c r="G133" t="s">
        <v>59</v>
      </c>
      <c r="H133" t="s">
        <v>60</v>
      </c>
      <c r="I133" t="s">
        <v>61</v>
      </c>
      <c r="J133" t="s">
        <v>62</v>
      </c>
      <c r="K133" s="4">
        <v>300</v>
      </c>
      <c r="L133" s="4">
        <v>138.91</v>
      </c>
      <c r="M133" s="4">
        <f t="shared" si="14"/>
        <v>161.09</v>
      </c>
      <c r="N133" s="4">
        <v>1457</v>
      </c>
      <c r="O133" s="4">
        <f t="shared" si="15"/>
        <v>437100</v>
      </c>
      <c r="P133" s="4">
        <f t="shared" si="16"/>
        <v>234708.13</v>
      </c>
      <c r="Q133" t="str">
        <f>IF(M133&lt;=0,"Cobrada",IF(L133&gt;0,"Parcial",IF(C133&lt;Resumen!$B$3,"Vencida",IF(C133&lt;=Resumen!$B$3+15,"Por vencer","Pendiente"))))</f>
        <v>Parcial</v>
      </c>
      <c r="R133" s="5">
        <f>IF(M133&lt;=0,MAX(0,D133-C133),MAX(0,Resumen!$B$3-C133))</f>
        <v>130</v>
      </c>
      <c r="S133" t="str">
        <f>IF(M133&lt;=0,"Sin prioridad",IF(R133&gt;60,"Alta",IF(R133&gt;30,"Media",IF(C133&lt;=Resumen!$B$3+15,"Media","Baja"))))</f>
        <v>Alta</v>
      </c>
      <c r="T133" t="s">
        <v>63</v>
      </c>
      <c r="U133" t="s">
        <v>105</v>
      </c>
      <c r="V133" t="s">
        <v>78</v>
      </c>
      <c r="W133" s="3">
        <f t="shared" si="17"/>
        <v>46023</v>
      </c>
      <c r="X133" s="3">
        <f t="shared" si="18"/>
        <v>46054</v>
      </c>
      <c r="Y133" t="s">
        <v>237</v>
      </c>
      <c r="Z133" t="str">
        <f>IF(AND(M133&gt;0,C133&lt;Resumen!$B$3),"Sí","No")</f>
        <v>Sí</v>
      </c>
      <c r="AA133" t="str">
        <f t="shared" si="19"/>
        <v>Sí</v>
      </c>
      <c r="AB133" t="str">
        <f t="shared" si="20"/>
        <v>Sí</v>
      </c>
    </row>
    <row r="134" spans="1:28">
      <c r="A134" t="s">
        <v>258</v>
      </c>
      <c r="B134" s="3">
        <v>46081</v>
      </c>
      <c r="C134" s="3">
        <v>46126</v>
      </c>
      <c r="D134" s="3">
        <v>46121</v>
      </c>
      <c r="E134" t="s">
        <v>143</v>
      </c>
      <c r="F134" t="s">
        <v>144</v>
      </c>
      <c r="G134" t="s">
        <v>59</v>
      </c>
      <c r="H134" t="s">
        <v>60</v>
      </c>
      <c r="I134" t="s">
        <v>61</v>
      </c>
      <c r="J134" t="s">
        <v>72</v>
      </c>
      <c r="K134" s="4">
        <v>593000</v>
      </c>
      <c r="L134" s="4">
        <v>593000</v>
      </c>
      <c r="M134" s="4">
        <f t="shared" si="14"/>
        <v>0</v>
      </c>
      <c r="N134" s="4">
        <v>1501</v>
      </c>
      <c r="O134" s="4">
        <f t="shared" si="15"/>
        <v>593000</v>
      </c>
      <c r="P134" s="4">
        <f t="shared" si="16"/>
        <v>0</v>
      </c>
      <c r="Q134" t="str">
        <f>IF(M134&lt;=0,"Cobrada",IF(L134&gt;0,"Parcial",IF(C134&lt;Resumen!$B$3,"Vencida",IF(C134&lt;=Resumen!$B$3+15,"Por vencer","Pendiente"))))</f>
        <v>Cobrada</v>
      </c>
      <c r="R134" s="5">
        <f>IF(M134&lt;=0,MAX(0,D134-C134),MAX(0,Resumen!$B$3-C134))</f>
        <v>0</v>
      </c>
      <c r="S134" t="str">
        <f>IF(M134&lt;=0,"Sin prioridad",IF(R134&gt;60,"Alta",IF(R134&gt;30,"Media",IF(C134&lt;=Resumen!$B$3+15,"Media","Baja"))))</f>
        <v>Sin prioridad</v>
      </c>
      <c r="T134" t="s">
        <v>87</v>
      </c>
      <c r="U134" t="s">
        <v>64</v>
      </c>
      <c r="V134" t="s">
        <v>74</v>
      </c>
      <c r="W134" s="3">
        <f t="shared" si="17"/>
        <v>46054</v>
      </c>
      <c r="X134" s="3">
        <f t="shared" si="18"/>
        <v>46113</v>
      </c>
      <c r="Y134" t="s">
        <v>237</v>
      </c>
      <c r="Z134" t="str">
        <f>IF(AND(M134&gt;0,C134&lt;Resumen!$B$3),"Sí","No")</f>
        <v>No</v>
      </c>
      <c r="AA134" t="str">
        <f t="shared" si="19"/>
        <v>No</v>
      </c>
      <c r="AB134" t="str">
        <f t="shared" si="20"/>
        <v>No</v>
      </c>
    </row>
    <row r="135" spans="1:28">
      <c r="A135" t="s">
        <v>259</v>
      </c>
      <c r="B135" s="3">
        <v>46058</v>
      </c>
      <c r="C135" s="3">
        <v>46088</v>
      </c>
      <c r="D135" s="3"/>
      <c r="E135" t="s">
        <v>118</v>
      </c>
      <c r="F135" t="s">
        <v>22</v>
      </c>
      <c r="G135" t="s">
        <v>59</v>
      </c>
      <c r="H135" t="s">
        <v>113</v>
      </c>
      <c r="I135" t="s">
        <v>114</v>
      </c>
      <c r="J135" t="s">
        <v>72</v>
      </c>
      <c r="K135" s="4">
        <v>1551000</v>
      </c>
      <c r="L135" s="4">
        <v>0</v>
      </c>
      <c r="M135" s="4">
        <f t="shared" si="14"/>
        <v>1551000</v>
      </c>
      <c r="N135" s="4">
        <v>1501</v>
      </c>
      <c r="O135" s="4">
        <f t="shared" si="15"/>
        <v>1551000</v>
      </c>
      <c r="P135" s="4">
        <f t="shared" si="16"/>
        <v>1551000</v>
      </c>
      <c r="Q135" t="str">
        <f>IF(M135&lt;=0,"Cobrada",IF(L135&gt;0,"Parcial",IF(C135&lt;Resumen!$B$3,"Vencida",IF(C135&lt;=Resumen!$B$3+15,"Por vencer","Pendiente"))))</f>
        <v>Vencida</v>
      </c>
      <c r="R135" s="5">
        <f>IF(M135&lt;=0,MAX(0,D135-C135),MAX(0,Resumen!$B$3-C135))</f>
        <v>116</v>
      </c>
      <c r="S135" t="str">
        <f>IF(M135&lt;=0,"Sin prioridad",IF(R135&gt;60,"Alta",IF(R135&gt;30,"Media",IF(C135&lt;=Resumen!$B$3+15,"Media","Baja"))))</f>
        <v>Alta</v>
      </c>
      <c r="T135" t="s">
        <v>87</v>
      </c>
      <c r="U135" t="s">
        <v>91</v>
      </c>
      <c r="V135" t="s">
        <v>78</v>
      </c>
      <c r="W135" s="3">
        <f t="shared" si="17"/>
        <v>46054</v>
      </c>
      <c r="X135" s="3">
        <f t="shared" si="18"/>
        <v>46082</v>
      </c>
      <c r="Y135" t="s">
        <v>237</v>
      </c>
      <c r="Z135" t="str">
        <f>IF(AND(M135&gt;0,C135&lt;Resumen!$B$3),"Sí","No")</f>
        <v>Sí</v>
      </c>
      <c r="AA135" t="str">
        <f t="shared" si="19"/>
        <v>No</v>
      </c>
      <c r="AB135" t="str">
        <f t="shared" si="20"/>
        <v>No</v>
      </c>
    </row>
    <row r="136" spans="1:28">
      <c r="A136" t="s">
        <v>260</v>
      </c>
      <c r="B136" s="3">
        <v>46063</v>
      </c>
      <c r="C136" s="3">
        <v>46078</v>
      </c>
      <c r="D136" s="3">
        <v>46110</v>
      </c>
      <c r="E136" t="s">
        <v>171</v>
      </c>
      <c r="F136" t="s">
        <v>21</v>
      </c>
      <c r="G136" t="s">
        <v>59</v>
      </c>
      <c r="H136" t="s">
        <v>60</v>
      </c>
      <c r="I136" t="s">
        <v>61</v>
      </c>
      <c r="J136" t="s">
        <v>72</v>
      </c>
      <c r="K136" s="4">
        <v>592000</v>
      </c>
      <c r="L136" s="4">
        <v>592000</v>
      </c>
      <c r="M136" s="4">
        <f t="shared" si="14"/>
        <v>0</v>
      </c>
      <c r="N136" s="4">
        <v>1501</v>
      </c>
      <c r="O136" s="4">
        <f t="shared" si="15"/>
        <v>592000</v>
      </c>
      <c r="P136" s="4">
        <f t="shared" si="16"/>
        <v>0</v>
      </c>
      <c r="Q136" t="str">
        <f>IF(M136&lt;=0,"Cobrada",IF(L136&gt;0,"Parcial",IF(C136&lt;Resumen!$B$3,"Vencida",IF(C136&lt;=Resumen!$B$3+15,"Por vencer","Pendiente"))))</f>
        <v>Cobrada</v>
      </c>
      <c r="R136" s="5">
        <f>IF(M136&lt;=0,MAX(0,D136-C136),MAX(0,Resumen!$B$3-C136))</f>
        <v>32</v>
      </c>
      <c r="S136" t="str">
        <f>IF(M136&lt;=0,"Sin prioridad",IF(R136&gt;60,"Alta",IF(R136&gt;30,"Media",IF(C136&lt;=Resumen!$B$3+15,"Media","Baja"))))</f>
        <v>Sin prioridad</v>
      </c>
      <c r="T136" t="s">
        <v>87</v>
      </c>
      <c r="U136" t="s">
        <v>64</v>
      </c>
      <c r="V136" t="s">
        <v>78</v>
      </c>
      <c r="W136" s="3">
        <f t="shared" si="17"/>
        <v>46054</v>
      </c>
      <c r="X136" s="3">
        <f t="shared" si="18"/>
        <v>46054</v>
      </c>
      <c r="Y136" t="s">
        <v>237</v>
      </c>
      <c r="Z136" t="str">
        <f>IF(AND(M136&gt;0,C136&lt;Resumen!$B$3),"Sí","No")</f>
        <v>No</v>
      </c>
      <c r="AA136" t="str">
        <f t="shared" si="19"/>
        <v>No</v>
      </c>
      <c r="AB136" t="str">
        <f t="shared" si="20"/>
        <v>No</v>
      </c>
    </row>
    <row r="137" spans="1:28">
      <c r="A137" t="s">
        <v>261</v>
      </c>
      <c r="B137" s="3">
        <v>46065</v>
      </c>
      <c r="C137" s="3">
        <v>46110</v>
      </c>
      <c r="D137" s="3">
        <v>46131</v>
      </c>
      <c r="E137" t="s">
        <v>120</v>
      </c>
      <c r="F137" t="s">
        <v>14</v>
      </c>
      <c r="G137" t="s">
        <v>59</v>
      </c>
      <c r="H137" t="s">
        <v>70</v>
      </c>
      <c r="I137" t="s">
        <v>71</v>
      </c>
      <c r="J137" t="s">
        <v>72</v>
      </c>
      <c r="K137" s="4">
        <v>698000</v>
      </c>
      <c r="L137" s="4">
        <v>698000</v>
      </c>
      <c r="M137" s="4">
        <f t="shared" si="14"/>
        <v>0</v>
      </c>
      <c r="N137" s="4">
        <v>1501</v>
      </c>
      <c r="O137" s="4">
        <f t="shared" si="15"/>
        <v>698000</v>
      </c>
      <c r="P137" s="4">
        <f t="shared" si="16"/>
        <v>0</v>
      </c>
      <c r="Q137" t="str">
        <f>IF(M137&lt;=0,"Cobrada",IF(L137&gt;0,"Parcial",IF(C137&lt;Resumen!$B$3,"Vencida",IF(C137&lt;=Resumen!$B$3+15,"Por vencer","Pendiente"))))</f>
        <v>Cobrada</v>
      </c>
      <c r="R137" s="5">
        <f>IF(M137&lt;=0,MAX(0,D137-C137),MAX(0,Resumen!$B$3-C137))</f>
        <v>21</v>
      </c>
      <c r="S137" t="str">
        <f>IF(M137&lt;=0,"Sin prioridad",IF(R137&gt;60,"Alta",IF(R137&gt;30,"Media",IF(C137&lt;=Resumen!$B$3+15,"Media","Baja"))))</f>
        <v>Sin prioridad</v>
      </c>
      <c r="T137" t="s">
        <v>63</v>
      </c>
      <c r="U137" t="s">
        <v>64</v>
      </c>
      <c r="V137" t="s">
        <v>74</v>
      </c>
      <c r="W137" s="3">
        <f t="shared" si="17"/>
        <v>46054</v>
      </c>
      <c r="X137" s="3">
        <f t="shared" si="18"/>
        <v>46082</v>
      </c>
      <c r="Y137" t="s">
        <v>237</v>
      </c>
      <c r="Z137" t="str">
        <f>IF(AND(M137&gt;0,C137&lt;Resumen!$B$3),"Sí","No")</f>
        <v>No</v>
      </c>
      <c r="AA137" t="str">
        <f t="shared" si="19"/>
        <v>No</v>
      </c>
      <c r="AB137" t="str">
        <f t="shared" si="20"/>
        <v>No</v>
      </c>
    </row>
    <row r="138" spans="1:28">
      <c r="A138" t="s">
        <v>262</v>
      </c>
      <c r="B138" s="3">
        <v>46056</v>
      </c>
      <c r="C138" s="3">
        <v>46071</v>
      </c>
      <c r="D138" s="3">
        <v>46114</v>
      </c>
      <c r="E138" t="s">
        <v>58</v>
      </c>
      <c r="F138" t="s">
        <v>10</v>
      </c>
      <c r="G138" t="s">
        <v>59</v>
      </c>
      <c r="H138" t="s">
        <v>113</v>
      </c>
      <c r="I138" t="s">
        <v>114</v>
      </c>
      <c r="J138" t="s">
        <v>62</v>
      </c>
      <c r="K138" s="4">
        <v>1700</v>
      </c>
      <c r="L138" s="4">
        <v>588.13</v>
      </c>
      <c r="M138" s="4">
        <f t="shared" si="14"/>
        <v>1111.8699999999999</v>
      </c>
      <c r="N138" s="4">
        <v>1501</v>
      </c>
      <c r="O138" s="4">
        <f t="shared" si="15"/>
        <v>2551700</v>
      </c>
      <c r="P138" s="4">
        <f t="shared" si="16"/>
        <v>1668916.8699999999</v>
      </c>
      <c r="Q138" t="str">
        <f>IF(M138&lt;=0,"Cobrada",IF(L138&gt;0,"Parcial",IF(C138&lt;Resumen!$B$3,"Vencida",IF(C138&lt;=Resumen!$B$3+15,"Por vencer","Pendiente"))))</f>
        <v>Parcial</v>
      </c>
      <c r="R138" s="5">
        <f>IF(M138&lt;=0,MAX(0,D138-C138),MAX(0,Resumen!$B$3-C138))</f>
        <v>133</v>
      </c>
      <c r="S138" t="str">
        <f>IF(M138&lt;=0,"Sin prioridad",IF(R138&gt;60,"Alta",IF(R138&gt;30,"Media",IF(C138&lt;=Resumen!$B$3+15,"Media","Baja"))))</f>
        <v>Alta</v>
      </c>
      <c r="T138" t="s">
        <v>63</v>
      </c>
      <c r="U138" t="s">
        <v>105</v>
      </c>
      <c r="V138" t="s">
        <v>65</v>
      </c>
      <c r="W138" s="3">
        <f t="shared" si="17"/>
        <v>46054</v>
      </c>
      <c r="X138" s="3">
        <f t="shared" si="18"/>
        <v>46054</v>
      </c>
      <c r="Y138" t="s">
        <v>237</v>
      </c>
      <c r="Z138" t="str">
        <f>IF(AND(M138&gt;0,C138&lt;Resumen!$B$3),"Sí","No")</f>
        <v>Sí</v>
      </c>
      <c r="AA138" t="str">
        <f t="shared" si="19"/>
        <v>Sí</v>
      </c>
      <c r="AB138" t="str">
        <f t="shared" si="20"/>
        <v>Sí</v>
      </c>
    </row>
    <row r="139" spans="1:28">
      <c r="A139" t="s">
        <v>263</v>
      </c>
      <c r="B139" s="3">
        <v>46075</v>
      </c>
      <c r="C139" s="3">
        <v>46120</v>
      </c>
      <c r="D139" s="3">
        <v>46161</v>
      </c>
      <c r="E139" t="s">
        <v>160</v>
      </c>
      <c r="F139" t="s">
        <v>17</v>
      </c>
      <c r="G139" t="s">
        <v>59</v>
      </c>
      <c r="H139" t="s">
        <v>70</v>
      </c>
      <c r="I139" t="s">
        <v>71</v>
      </c>
      <c r="J139" t="s">
        <v>72</v>
      </c>
      <c r="K139" s="4">
        <v>841000</v>
      </c>
      <c r="L139" s="4">
        <v>841000</v>
      </c>
      <c r="M139" s="4">
        <f t="shared" si="14"/>
        <v>0</v>
      </c>
      <c r="N139" s="4">
        <v>1501</v>
      </c>
      <c r="O139" s="4">
        <f t="shared" si="15"/>
        <v>841000</v>
      </c>
      <c r="P139" s="4">
        <f t="shared" si="16"/>
        <v>0</v>
      </c>
      <c r="Q139" t="str">
        <f>IF(M139&lt;=0,"Cobrada",IF(L139&gt;0,"Parcial",IF(C139&lt;Resumen!$B$3,"Vencida",IF(C139&lt;=Resumen!$B$3+15,"Por vencer","Pendiente"))))</f>
        <v>Cobrada</v>
      </c>
      <c r="R139" s="5">
        <f>IF(M139&lt;=0,MAX(0,D139-C139),MAX(0,Resumen!$B$3-C139))</f>
        <v>41</v>
      </c>
      <c r="S139" t="str">
        <f>IF(M139&lt;=0,"Sin prioridad",IF(R139&gt;60,"Alta",IF(R139&gt;30,"Media",IF(C139&lt;=Resumen!$B$3+15,"Media","Baja"))))</f>
        <v>Sin prioridad</v>
      </c>
      <c r="T139" t="s">
        <v>83</v>
      </c>
      <c r="U139" t="s">
        <v>64</v>
      </c>
      <c r="V139" t="s">
        <v>80</v>
      </c>
      <c r="W139" s="3">
        <f t="shared" si="17"/>
        <v>46054</v>
      </c>
      <c r="X139" s="3">
        <f t="shared" si="18"/>
        <v>46113</v>
      </c>
      <c r="Y139" t="s">
        <v>237</v>
      </c>
      <c r="Z139" t="str">
        <f>IF(AND(M139&gt;0,C139&lt;Resumen!$B$3),"Sí","No")</f>
        <v>No</v>
      </c>
      <c r="AA139" t="str">
        <f t="shared" si="19"/>
        <v>No</v>
      </c>
      <c r="AB139" t="str">
        <f t="shared" si="20"/>
        <v>No</v>
      </c>
    </row>
    <row r="140" spans="1:28">
      <c r="A140" t="s">
        <v>264</v>
      </c>
      <c r="B140" s="3">
        <v>46057</v>
      </c>
      <c r="C140" s="3">
        <v>46072</v>
      </c>
      <c r="D140" s="3">
        <v>46070</v>
      </c>
      <c r="E140" t="s">
        <v>76</v>
      </c>
      <c r="F140" t="s">
        <v>77</v>
      </c>
      <c r="G140" t="s">
        <v>59</v>
      </c>
      <c r="H140" t="s">
        <v>113</v>
      </c>
      <c r="I140" t="s">
        <v>114</v>
      </c>
      <c r="J140" t="s">
        <v>62</v>
      </c>
      <c r="K140" s="4">
        <v>2350</v>
      </c>
      <c r="L140" s="4">
        <v>2350</v>
      </c>
      <c r="M140" s="4">
        <f t="shared" si="14"/>
        <v>0</v>
      </c>
      <c r="N140" s="4">
        <v>1501</v>
      </c>
      <c r="O140" s="4">
        <f t="shared" si="15"/>
        <v>3527350</v>
      </c>
      <c r="P140" s="4">
        <f t="shared" si="16"/>
        <v>0</v>
      </c>
      <c r="Q140" t="str">
        <f>IF(M140&lt;=0,"Cobrada",IF(L140&gt;0,"Parcial",IF(C140&lt;Resumen!$B$3,"Vencida",IF(C140&lt;=Resumen!$B$3+15,"Por vencer","Pendiente"))))</f>
        <v>Cobrada</v>
      </c>
      <c r="R140" s="5">
        <f>IF(M140&lt;=0,MAX(0,D140-C140),MAX(0,Resumen!$B$3-C140))</f>
        <v>0</v>
      </c>
      <c r="S140" t="str">
        <f>IF(M140&lt;=0,"Sin prioridad",IF(R140&gt;60,"Alta",IF(R140&gt;30,"Media",IF(C140&lt;=Resumen!$B$3+15,"Media","Baja"))))</f>
        <v>Sin prioridad</v>
      </c>
      <c r="T140" t="s">
        <v>73</v>
      </c>
      <c r="U140" t="s">
        <v>64</v>
      </c>
      <c r="V140" t="s">
        <v>78</v>
      </c>
      <c r="W140" s="3">
        <f t="shared" si="17"/>
        <v>46054</v>
      </c>
      <c r="X140" s="3">
        <f t="shared" si="18"/>
        <v>46054</v>
      </c>
      <c r="Y140" t="s">
        <v>237</v>
      </c>
      <c r="Z140" t="str">
        <f>IF(AND(M140&gt;0,C140&lt;Resumen!$B$3),"Sí","No")</f>
        <v>No</v>
      </c>
      <c r="AA140" t="str">
        <f t="shared" si="19"/>
        <v>No</v>
      </c>
      <c r="AB140" t="str">
        <f t="shared" si="20"/>
        <v>Sí</v>
      </c>
    </row>
    <row r="141" spans="1:28">
      <c r="A141" t="s">
        <v>265</v>
      </c>
      <c r="B141" s="3">
        <v>46062</v>
      </c>
      <c r="C141" s="3">
        <v>46107</v>
      </c>
      <c r="D141" s="3">
        <v>46110</v>
      </c>
      <c r="E141" t="s">
        <v>129</v>
      </c>
      <c r="F141" t="s">
        <v>130</v>
      </c>
      <c r="G141" t="s">
        <v>59</v>
      </c>
      <c r="H141" t="s">
        <v>70</v>
      </c>
      <c r="I141" t="s">
        <v>71</v>
      </c>
      <c r="J141" t="s">
        <v>72</v>
      </c>
      <c r="K141" s="4">
        <v>523000</v>
      </c>
      <c r="L141" s="4">
        <v>523000</v>
      </c>
      <c r="M141" s="4">
        <f t="shared" si="14"/>
        <v>0</v>
      </c>
      <c r="N141" s="4">
        <v>1501</v>
      </c>
      <c r="O141" s="4">
        <f t="shared" si="15"/>
        <v>523000</v>
      </c>
      <c r="P141" s="4">
        <f t="shared" si="16"/>
        <v>0</v>
      </c>
      <c r="Q141" t="str">
        <f>IF(M141&lt;=0,"Cobrada",IF(L141&gt;0,"Parcial",IF(C141&lt;Resumen!$B$3,"Vencida",IF(C141&lt;=Resumen!$B$3+15,"Por vencer","Pendiente"))))</f>
        <v>Cobrada</v>
      </c>
      <c r="R141" s="5">
        <f>IF(M141&lt;=0,MAX(0,D141-C141),MAX(0,Resumen!$B$3-C141))</f>
        <v>3</v>
      </c>
      <c r="S141" t="str">
        <f>IF(M141&lt;=0,"Sin prioridad",IF(R141&gt;60,"Alta",IF(R141&gt;30,"Media",IF(C141&lt;=Resumen!$B$3+15,"Media","Baja"))))</f>
        <v>Sin prioridad</v>
      </c>
      <c r="T141" t="s">
        <v>83</v>
      </c>
      <c r="U141" t="s">
        <v>64</v>
      </c>
      <c r="V141" t="s">
        <v>74</v>
      </c>
      <c r="W141" s="3">
        <f t="shared" si="17"/>
        <v>46054</v>
      </c>
      <c r="X141" s="3">
        <f t="shared" si="18"/>
        <v>46082</v>
      </c>
      <c r="Y141" t="s">
        <v>237</v>
      </c>
      <c r="Z141" t="str">
        <f>IF(AND(M141&gt;0,C141&lt;Resumen!$B$3),"Sí","No")</f>
        <v>No</v>
      </c>
      <c r="AA141" t="str">
        <f t="shared" si="19"/>
        <v>No</v>
      </c>
      <c r="AB141" t="str">
        <f t="shared" si="20"/>
        <v>No</v>
      </c>
    </row>
    <row r="142" spans="1:28">
      <c r="A142" t="s">
        <v>266</v>
      </c>
      <c r="B142" s="3">
        <v>46059</v>
      </c>
      <c r="C142" s="3">
        <v>46104</v>
      </c>
      <c r="D142" s="3">
        <v>46113</v>
      </c>
      <c r="E142" t="s">
        <v>82</v>
      </c>
      <c r="F142" t="s">
        <v>15</v>
      </c>
      <c r="G142" t="s">
        <v>59</v>
      </c>
      <c r="H142" t="s">
        <v>70</v>
      </c>
      <c r="I142" t="s">
        <v>71</v>
      </c>
      <c r="J142" t="s">
        <v>72</v>
      </c>
      <c r="K142" s="4">
        <v>657000</v>
      </c>
      <c r="L142" s="4">
        <v>657000</v>
      </c>
      <c r="M142" s="4">
        <f t="shared" si="14"/>
        <v>0</v>
      </c>
      <c r="N142" s="4">
        <v>1501</v>
      </c>
      <c r="O142" s="4">
        <f t="shared" si="15"/>
        <v>657000</v>
      </c>
      <c r="P142" s="4">
        <f t="shared" si="16"/>
        <v>0</v>
      </c>
      <c r="Q142" t="str">
        <f>IF(M142&lt;=0,"Cobrada",IF(L142&gt;0,"Parcial",IF(C142&lt;Resumen!$B$3,"Vencida",IF(C142&lt;=Resumen!$B$3+15,"Por vencer","Pendiente"))))</f>
        <v>Cobrada</v>
      </c>
      <c r="R142" s="5">
        <f>IF(M142&lt;=0,MAX(0,D142-C142),MAX(0,Resumen!$B$3-C142))</f>
        <v>9</v>
      </c>
      <c r="S142" t="str">
        <f>IF(M142&lt;=0,"Sin prioridad",IF(R142&gt;60,"Alta",IF(R142&gt;30,"Media",IF(C142&lt;=Resumen!$B$3+15,"Media","Baja"))))</f>
        <v>Sin prioridad</v>
      </c>
      <c r="T142" t="s">
        <v>83</v>
      </c>
      <c r="U142" t="s">
        <v>64</v>
      </c>
      <c r="V142" t="s">
        <v>106</v>
      </c>
      <c r="W142" s="3">
        <f t="shared" si="17"/>
        <v>46054</v>
      </c>
      <c r="X142" s="3">
        <f t="shared" si="18"/>
        <v>46082</v>
      </c>
      <c r="Y142" t="s">
        <v>237</v>
      </c>
      <c r="Z142" t="str">
        <f>IF(AND(M142&gt;0,C142&lt;Resumen!$B$3),"Sí","No")</f>
        <v>No</v>
      </c>
      <c r="AA142" t="str">
        <f t="shared" si="19"/>
        <v>No</v>
      </c>
      <c r="AB142" t="str">
        <f t="shared" si="20"/>
        <v>No</v>
      </c>
    </row>
    <row r="143" spans="1:28">
      <c r="A143" t="s">
        <v>267</v>
      </c>
      <c r="B143" s="3">
        <v>46076</v>
      </c>
      <c r="C143" s="3">
        <v>46136</v>
      </c>
      <c r="D143" s="3">
        <v>46165</v>
      </c>
      <c r="E143" t="s">
        <v>93</v>
      </c>
      <c r="F143" t="s">
        <v>19</v>
      </c>
      <c r="G143" t="s">
        <v>59</v>
      </c>
      <c r="H143" t="s">
        <v>70</v>
      </c>
      <c r="I143" t="s">
        <v>71</v>
      </c>
      <c r="J143" t="s">
        <v>72</v>
      </c>
      <c r="K143" s="4">
        <v>925000</v>
      </c>
      <c r="L143" s="4">
        <v>925000</v>
      </c>
      <c r="M143" s="4">
        <f t="shared" si="14"/>
        <v>0</v>
      </c>
      <c r="N143" s="4">
        <v>1501</v>
      </c>
      <c r="O143" s="4">
        <f t="shared" si="15"/>
        <v>925000</v>
      </c>
      <c r="P143" s="4">
        <f t="shared" si="16"/>
        <v>0</v>
      </c>
      <c r="Q143" t="str">
        <f>IF(M143&lt;=0,"Cobrada",IF(L143&gt;0,"Parcial",IF(C143&lt;Resumen!$B$3,"Vencida",IF(C143&lt;=Resumen!$B$3+15,"Por vencer","Pendiente"))))</f>
        <v>Cobrada</v>
      </c>
      <c r="R143" s="5">
        <f>IF(M143&lt;=0,MAX(0,D143-C143),MAX(0,Resumen!$B$3-C143))</f>
        <v>29</v>
      </c>
      <c r="S143" t="str">
        <f>IF(M143&lt;=0,"Sin prioridad",IF(R143&gt;60,"Alta",IF(R143&gt;30,"Media",IF(C143&lt;=Resumen!$B$3+15,"Media","Baja"))))</f>
        <v>Sin prioridad</v>
      </c>
      <c r="T143" t="s">
        <v>87</v>
      </c>
      <c r="U143" t="s">
        <v>64</v>
      </c>
      <c r="V143" t="s">
        <v>74</v>
      </c>
      <c r="W143" s="3">
        <f t="shared" si="17"/>
        <v>46054</v>
      </c>
      <c r="X143" s="3">
        <f t="shared" si="18"/>
        <v>46113</v>
      </c>
      <c r="Y143" t="s">
        <v>237</v>
      </c>
      <c r="Z143" t="str">
        <f>IF(AND(M143&gt;0,C143&lt;Resumen!$B$3),"Sí","No")</f>
        <v>No</v>
      </c>
      <c r="AA143" t="str">
        <f t="shared" si="19"/>
        <v>No</v>
      </c>
      <c r="AB143" t="str">
        <f t="shared" si="20"/>
        <v>No</v>
      </c>
    </row>
    <row r="144" spans="1:28">
      <c r="A144" t="s">
        <v>268</v>
      </c>
      <c r="B144" s="3">
        <v>46058</v>
      </c>
      <c r="C144" s="3">
        <v>46088</v>
      </c>
      <c r="D144" s="3">
        <v>46087</v>
      </c>
      <c r="E144" t="s">
        <v>206</v>
      </c>
      <c r="F144" t="s">
        <v>207</v>
      </c>
      <c r="G144" t="s">
        <v>59</v>
      </c>
      <c r="H144" t="s">
        <v>70</v>
      </c>
      <c r="I144" t="s">
        <v>71</v>
      </c>
      <c r="J144" t="s">
        <v>72</v>
      </c>
      <c r="K144" s="4">
        <v>907000</v>
      </c>
      <c r="L144" s="4">
        <v>907000</v>
      </c>
      <c r="M144" s="4">
        <f t="shared" si="14"/>
        <v>0</v>
      </c>
      <c r="N144" s="4">
        <v>1501</v>
      </c>
      <c r="O144" s="4">
        <f t="shared" si="15"/>
        <v>907000</v>
      </c>
      <c r="P144" s="4">
        <f t="shared" si="16"/>
        <v>0</v>
      </c>
      <c r="Q144" t="str">
        <f>IF(M144&lt;=0,"Cobrada",IF(L144&gt;0,"Parcial",IF(C144&lt;Resumen!$B$3,"Vencida",IF(C144&lt;=Resumen!$B$3+15,"Por vencer","Pendiente"))))</f>
        <v>Cobrada</v>
      </c>
      <c r="R144" s="5">
        <f>IF(M144&lt;=0,MAX(0,D144-C144),MAX(0,Resumen!$B$3-C144))</f>
        <v>0</v>
      </c>
      <c r="S144" t="str">
        <f>IF(M144&lt;=0,"Sin prioridad",IF(R144&gt;60,"Alta",IF(R144&gt;30,"Media",IF(C144&lt;=Resumen!$B$3+15,"Media","Baja"))))</f>
        <v>Sin prioridad</v>
      </c>
      <c r="T144" t="s">
        <v>83</v>
      </c>
      <c r="U144" t="s">
        <v>64</v>
      </c>
      <c r="V144" t="s">
        <v>74</v>
      </c>
      <c r="W144" s="3">
        <f t="shared" si="17"/>
        <v>46054</v>
      </c>
      <c r="X144" s="3">
        <f t="shared" si="18"/>
        <v>46082</v>
      </c>
      <c r="Y144" t="s">
        <v>237</v>
      </c>
      <c r="Z144" t="str">
        <f>IF(AND(M144&gt;0,C144&lt;Resumen!$B$3),"Sí","No")</f>
        <v>No</v>
      </c>
      <c r="AA144" t="str">
        <f t="shared" si="19"/>
        <v>No</v>
      </c>
      <c r="AB144" t="str">
        <f t="shared" si="20"/>
        <v>No</v>
      </c>
    </row>
    <row r="145" spans="1:28">
      <c r="A145" t="s">
        <v>269</v>
      </c>
      <c r="B145" s="3">
        <v>46060</v>
      </c>
      <c r="C145" s="3">
        <v>46090</v>
      </c>
      <c r="D145" s="3">
        <v>46108</v>
      </c>
      <c r="E145" t="s">
        <v>90</v>
      </c>
      <c r="F145" t="s">
        <v>12</v>
      </c>
      <c r="G145" t="s">
        <v>59</v>
      </c>
      <c r="H145" t="s">
        <v>70</v>
      </c>
      <c r="I145" t="s">
        <v>71</v>
      </c>
      <c r="J145" t="s">
        <v>62</v>
      </c>
      <c r="K145" s="4">
        <v>450</v>
      </c>
      <c r="L145" s="4">
        <v>450</v>
      </c>
      <c r="M145" s="4">
        <f t="shared" si="14"/>
        <v>0</v>
      </c>
      <c r="N145" s="4">
        <v>1501</v>
      </c>
      <c r="O145" s="4">
        <f t="shared" si="15"/>
        <v>675450</v>
      </c>
      <c r="P145" s="4">
        <f t="shared" si="16"/>
        <v>0</v>
      </c>
      <c r="Q145" t="str">
        <f>IF(M145&lt;=0,"Cobrada",IF(L145&gt;0,"Parcial",IF(C145&lt;Resumen!$B$3,"Vencida",IF(C145&lt;=Resumen!$B$3+15,"Por vencer","Pendiente"))))</f>
        <v>Cobrada</v>
      </c>
      <c r="R145" s="5">
        <f>IF(M145&lt;=0,MAX(0,D145-C145),MAX(0,Resumen!$B$3-C145))</f>
        <v>18</v>
      </c>
      <c r="S145" t="str">
        <f>IF(M145&lt;=0,"Sin prioridad",IF(R145&gt;60,"Alta",IF(R145&gt;30,"Media",IF(C145&lt;=Resumen!$B$3+15,"Media","Baja"))))</f>
        <v>Sin prioridad</v>
      </c>
      <c r="T145" t="s">
        <v>63</v>
      </c>
      <c r="U145" t="s">
        <v>64</v>
      </c>
      <c r="W145" s="3">
        <f t="shared" si="17"/>
        <v>46054</v>
      </c>
      <c r="X145" s="3">
        <f t="shared" si="18"/>
        <v>46082</v>
      </c>
      <c r="Y145" t="s">
        <v>237</v>
      </c>
      <c r="Z145" t="str">
        <f>IF(AND(M145&gt;0,C145&lt;Resumen!$B$3),"Sí","No")</f>
        <v>No</v>
      </c>
      <c r="AA145" t="str">
        <f t="shared" si="19"/>
        <v>No</v>
      </c>
      <c r="AB145" t="str">
        <f t="shared" si="20"/>
        <v>Sí</v>
      </c>
    </row>
    <row r="146" spans="1:28">
      <c r="A146" t="s">
        <v>270</v>
      </c>
      <c r="B146" s="3">
        <v>46056</v>
      </c>
      <c r="C146" s="3">
        <v>46101</v>
      </c>
      <c r="D146" s="3">
        <v>46110</v>
      </c>
      <c r="E146" t="s">
        <v>129</v>
      </c>
      <c r="F146" t="s">
        <v>130</v>
      </c>
      <c r="G146" t="s">
        <v>59</v>
      </c>
      <c r="H146" t="s">
        <v>60</v>
      </c>
      <c r="I146" t="s">
        <v>61</v>
      </c>
      <c r="J146" t="s">
        <v>72</v>
      </c>
      <c r="K146" s="4">
        <v>835000</v>
      </c>
      <c r="L146" s="4">
        <v>835000</v>
      </c>
      <c r="M146" s="4">
        <f t="shared" si="14"/>
        <v>0</v>
      </c>
      <c r="N146" s="4">
        <v>1501</v>
      </c>
      <c r="O146" s="4">
        <f t="shared" si="15"/>
        <v>835000</v>
      </c>
      <c r="P146" s="4">
        <f t="shared" si="16"/>
        <v>0</v>
      </c>
      <c r="Q146" t="str">
        <f>IF(M146&lt;=0,"Cobrada",IF(L146&gt;0,"Parcial",IF(C146&lt;Resumen!$B$3,"Vencida",IF(C146&lt;=Resumen!$B$3+15,"Por vencer","Pendiente"))))</f>
        <v>Cobrada</v>
      </c>
      <c r="R146" s="5">
        <f>IF(M146&lt;=0,MAX(0,D146-C146),MAX(0,Resumen!$B$3-C146))</f>
        <v>9</v>
      </c>
      <c r="S146" t="str">
        <f>IF(M146&lt;=0,"Sin prioridad",IF(R146&gt;60,"Alta",IF(R146&gt;30,"Media",IF(C146&lt;=Resumen!$B$3+15,"Media","Baja"))))</f>
        <v>Sin prioridad</v>
      </c>
      <c r="T146" t="s">
        <v>83</v>
      </c>
      <c r="U146" t="s">
        <v>64</v>
      </c>
      <c r="V146" t="s">
        <v>106</v>
      </c>
      <c r="W146" s="3">
        <f t="shared" si="17"/>
        <v>46054</v>
      </c>
      <c r="X146" s="3">
        <f t="shared" si="18"/>
        <v>46082</v>
      </c>
      <c r="Y146" t="s">
        <v>237</v>
      </c>
      <c r="Z146" t="str">
        <f>IF(AND(M146&gt;0,C146&lt;Resumen!$B$3),"Sí","No")</f>
        <v>No</v>
      </c>
      <c r="AA146" t="str">
        <f t="shared" si="19"/>
        <v>No</v>
      </c>
      <c r="AB146" t="str">
        <f t="shared" si="20"/>
        <v>No</v>
      </c>
    </row>
    <row r="147" spans="1:28">
      <c r="A147" t="s">
        <v>271</v>
      </c>
      <c r="B147" s="3">
        <v>46063</v>
      </c>
      <c r="C147" s="3">
        <v>46078</v>
      </c>
      <c r="D147" s="3">
        <v>46081</v>
      </c>
      <c r="E147" t="s">
        <v>97</v>
      </c>
      <c r="F147" t="s">
        <v>98</v>
      </c>
      <c r="G147" t="s">
        <v>59</v>
      </c>
      <c r="H147" t="s">
        <v>70</v>
      </c>
      <c r="I147" t="s">
        <v>71</v>
      </c>
      <c r="J147" t="s">
        <v>72</v>
      </c>
      <c r="K147" s="4">
        <v>768000</v>
      </c>
      <c r="L147" s="4">
        <v>768000</v>
      </c>
      <c r="M147" s="4">
        <f t="shared" si="14"/>
        <v>0</v>
      </c>
      <c r="N147" s="4">
        <v>1501</v>
      </c>
      <c r="O147" s="4">
        <f t="shared" si="15"/>
        <v>768000</v>
      </c>
      <c r="P147" s="4">
        <f t="shared" si="16"/>
        <v>0</v>
      </c>
      <c r="Q147" t="str">
        <f>IF(M147&lt;=0,"Cobrada",IF(L147&gt;0,"Parcial",IF(C147&lt;Resumen!$B$3,"Vencida",IF(C147&lt;=Resumen!$B$3+15,"Por vencer","Pendiente"))))</f>
        <v>Cobrada</v>
      </c>
      <c r="R147" s="5">
        <f>IF(M147&lt;=0,MAX(0,D147-C147),MAX(0,Resumen!$B$3-C147))</f>
        <v>3</v>
      </c>
      <c r="S147" t="str">
        <f>IF(M147&lt;=0,"Sin prioridad",IF(R147&gt;60,"Alta",IF(R147&gt;30,"Media",IF(C147&lt;=Resumen!$B$3+15,"Media","Baja"))))</f>
        <v>Sin prioridad</v>
      </c>
      <c r="T147" t="s">
        <v>87</v>
      </c>
      <c r="U147" t="s">
        <v>64</v>
      </c>
      <c r="V147" t="s">
        <v>106</v>
      </c>
      <c r="W147" s="3">
        <f t="shared" si="17"/>
        <v>46054</v>
      </c>
      <c r="X147" s="3">
        <f t="shared" si="18"/>
        <v>46054</v>
      </c>
      <c r="Y147" t="s">
        <v>237</v>
      </c>
      <c r="Z147" t="str">
        <f>IF(AND(M147&gt;0,C147&lt;Resumen!$B$3),"Sí","No")</f>
        <v>No</v>
      </c>
      <c r="AA147" t="str">
        <f t="shared" si="19"/>
        <v>No</v>
      </c>
      <c r="AB147" t="str">
        <f t="shared" si="20"/>
        <v>No</v>
      </c>
    </row>
    <row r="148" spans="1:28">
      <c r="A148" t="s">
        <v>272</v>
      </c>
      <c r="B148" s="3">
        <v>46064</v>
      </c>
      <c r="C148" s="3">
        <v>46094</v>
      </c>
      <c r="D148" s="3">
        <v>46095</v>
      </c>
      <c r="E148" t="s">
        <v>206</v>
      </c>
      <c r="F148" t="s">
        <v>207</v>
      </c>
      <c r="G148" t="s">
        <v>59</v>
      </c>
      <c r="H148" t="s">
        <v>60</v>
      </c>
      <c r="I148" t="s">
        <v>61</v>
      </c>
      <c r="J148" t="s">
        <v>62</v>
      </c>
      <c r="K148" s="4">
        <v>750</v>
      </c>
      <c r="L148" s="4">
        <v>750</v>
      </c>
      <c r="M148" s="4">
        <f t="shared" si="14"/>
        <v>0</v>
      </c>
      <c r="N148" s="4">
        <v>1501</v>
      </c>
      <c r="O148" s="4">
        <f t="shared" si="15"/>
        <v>1125750</v>
      </c>
      <c r="P148" s="4">
        <f t="shared" si="16"/>
        <v>0</v>
      </c>
      <c r="Q148" t="str">
        <f>IF(M148&lt;=0,"Cobrada",IF(L148&gt;0,"Parcial",IF(C148&lt;Resumen!$B$3,"Vencida",IF(C148&lt;=Resumen!$B$3+15,"Por vencer","Pendiente"))))</f>
        <v>Cobrada</v>
      </c>
      <c r="R148" s="5">
        <f>IF(M148&lt;=0,MAX(0,D148-C148),MAX(0,Resumen!$B$3-C148))</f>
        <v>1</v>
      </c>
      <c r="S148" t="str">
        <f>IF(M148&lt;=0,"Sin prioridad",IF(R148&gt;60,"Alta",IF(R148&gt;30,"Media",IF(C148&lt;=Resumen!$B$3+15,"Media","Baja"))))</f>
        <v>Sin prioridad</v>
      </c>
      <c r="T148" t="s">
        <v>83</v>
      </c>
      <c r="U148" t="s">
        <v>64</v>
      </c>
      <c r="V148" t="s">
        <v>106</v>
      </c>
      <c r="W148" s="3">
        <f t="shared" si="17"/>
        <v>46054</v>
      </c>
      <c r="X148" s="3">
        <f t="shared" si="18"/>
        <v>46082</v>
      </c>
      <c r="Y148" t="s">
        <v>237</v>
      </c>
      <c r="Z148" t="str">
        <f>IF(AND(M148&gt;0,C148&lt;Resumen!$B$3),"Sí","No")</f>
        <v>No</v>
      </c>
      <c r="AA148" t="str">
        <f t="shared" si="19"/>
        <v>No</v>
      </c>
      <c r="AB148" t="str">
        <f t="shared" si="20"/>
        <v>Sí</v>
      </c>
    </row>
    <row r="149" spans="1:28">
      <c r="A149" t="s">
        <v>273</v>
      </c>
      <c r="B149" s="3">
        <v>46054</v>
      </c>
      <c r="C149" s="3">
        <v>46099</v>
      </c>
      <c r="D149" s="3"/>
      <c r="E149" t="s">
        <v>104</v>
      </c>
      <c r="F149" t="s">
        <v>28</v>
      </c>
      <c r="G149" t="s">
        <v>59</v>
      </c>
      <c r="H149" t="s">
        <v>60</v>
      </c>
      <c r="I149" t="s">
        <v>61</v>
      </c>
      <c r="J149" t="s">
        <v>72</v>
      </c>
      <c r="K149" s="4">
        <v>534000</v>
      </c>
      <c r="L149" s="4">
        <v>0</v>
      </c>
      <c r="M149" s="4">
        <f t="shared" si="14"/>
        <v>534000</v>
      </c>
      <c r="N149" s="4">
        <v>1501</v>
      </c>
      <c r="O149" s="4">
        <f t="shared" si="15"/>
        <v>534000</v>
      </c>
      <c r="P149" s="4">
        <f t="shared" si="16"/>
        <v>534000</v>
      </c>
      <c r="Q149" t="str">
        <f>IF(M149&lt;=0,"Cobrada",IF(L149&gt;0,"Parcial",IF(C149&lt;Resumen!$B$3,"Vencida",IF(C149&lt;=Resumen!$B$3+15,"Por vencer","Pendiente"))))</f>
        <v>Vencida</v>
      </c>
      <c r="R149" s="5">
        <f>IF(M149&lt;=0,MAX(0,D149-C149),MAX(0,Resumen!$B$3-C149))</f>
        <v>105</v>
      </c>
      <c r="S149" t="str">
        <f>IF(M149&lt;=0,"Sin prioridad",IF(R149&gt;60,"Alta",IF(R149&gt;30,"Media",IF(C149&lt;=Resumen!$B$3+15,"Media","Baja"))))</f>
        <v>Alta</v>
      </c>
      <c r="T149" t="s">
        <v>83</v>
      </c>
      <c r="U149" t="s">
        <v>95</v>
      </c>
      <c r="V149" t="s">
        <v>74</v>
      </c>
      <c r="W149" s="3">
        <f t="shared" si="17"/>
        <v>46054</v>
      </c>
      <c r="X149" s="3">
        <f t="shared" si="18"/>
        <v>46082</v>
      </c>
      <c r="Y149" t="s">
        <v>237</v>
      </c>
      <c r="Z149" t="str">
        <f>IF(AND(M149&gt;0,C149&lt;Resumen!$B$3),"Sí","No")</f>
        <v>Sí</v>
      </c>
      <c r="AA149" t="str">
        <f t="shared" si="19"/>
        <v>No</v>
      </c>
      <c r="AB149" t="str">
        <f t="shared" si="20"/>
        <v>No</v>
      </c>
    </row>
    <row r="150" spans="1:28">
      <c r="A150" t="s">
        <v>274</v>
      </c>
      <c r="B150" s="3">
        <v>46067</v>
      </c>
      <c r="C150" s="3">
        <v>46082</v>
      </c>
      <c r="D150" s="3">
        <v>46102</v>
      </c>
      <c r="E150" t="s">
        <v>185</v>
      </c>
      <c r="F150" t="s">
        <v>186</v>
      </c>
      <c r="G150" t="s">
        <v>59</v>
      </c>
      <c r="H150" t="s">
        <v>60</v>
      </c>
      <c r="I150" t="s">
        <v>61</v>
      </c>
      <c r="J150" t="s">
        <v>72</v>
      </c>
      <c r="K150" s="4">
        <v>538000</v>
      </c>
      <c r="L150" s="4">
        <v>538000</v>
      </c>
      <c r="M150" s="4">
        <f t="shared" si="14"/>
        <v>0</v>
      </c>
      <c r="N150" s="4">
        <v>1501</v>
      </c>
      <c r="O150" s="4">
        <f t="shared" si="15"/>
        <v>538000</v>
      </c>
      <c r="P150" s="4">
        <f t="shared" si="16"/>
        <v>0</v>
      </c>
      <c r="Q150" t="str">
        <f>IF(M150&lt;=0,"Cobrada",IF(L150&gt;0,"Parcial",IF(C150&lt;Resumen!$B$3,"Vencida",IF(C150&lt;=Resumen!$B$3+15,"Por vencer","Pendiente"))))</f>
        <v>Cobrada</v>
      </c>
      <c r="R150" s="5">
        <f>IF(M150&lt;=0,MAX(0,D150-C150),MAX(0,Resumen!$B$3-C150))</f>
        <v>20</v>
      </c>
      <c r="S150" t="str">
        <f>IF(M150&lt;=0,"Sin prioridad",IF(R150&gt;60,"Alta",IF(R150&gt;30,"Media",IF(C150&lt;=Resumen!$B$3+15,"Media","Baja"))))</f>
        <v>Sin prioridad</v>
      </c>
      <c r="T150" t="s">
        <v>63</v>
      </c>
      <c r="U150" t="s">
        <v>64</v>
      </c>
      <c r="V150" t="s">
        <v>80</v>
      </c>
      <c r="W150" s="3">
        <f t="shared" si="17"/>
        <v>46054</v>
      </c>
      <c r="X150" s="3">
        <f t="shared" si="18"/>
        <v>46082</v>
      </c>
      <c r="Y150" t="s">
        <v>237</v>
      </c>
      <c r="Z150" t="str">
        <f>IF(AND(M150&gt;0,C150&lt;Resumen!$B$3),"Sí","No")</f>
        <v>No</v>
      </c>
      <c r="AA150" t="str">
        <f t="shared" si="19"/>
        <v>No</v>
      </c>
      <c r="AB150" t="str">
        <f t="shared" si="20"/>
        <v>No</v>
      </c>
    </row>
    <row r="151" spans="1:28">
      <c r="A151" t="s">
        <v>275</v>
      </c>
      <c r="B151" s="3">
        <v>46069</v>
      </c>
      <c r="C151" s="3">
        <v>46099</v>
      </c>
      <c r="D151" s="3"/>
      <c r="E151" t="s">
        <v>90</v>
      </c>
      <c r="F151" t="s">
        <v>12</v>
      </c>
      <c r="G151" t="s">
        <v>59</v>
      </c>
      <c r="H151" t="s">
        <v>70</v>
      </c>
      <c r="I151" t="s">
        <v>71</v>
      </c>
      <c r="J151" t="s">
        <v>72</v>
      </c>
      <c r="K151" s="4">
        <v>699000</v>
      </c>
      <c r="L151" s="4">
        <v>0</v>
      </c>
      <c r="M151" s="4">
        <f t="shared" si="14"/>
        <v>699000</v>
      </c>
      <c r="N151" s="4">
        <v>1501</v>
      </c>
      <c r="O151" s="4">
        <f t="shared" si="15"/>
        <v>699000</v>
      </c>
      <c r="P151" s="4">
        <f t="shared" si="16"/>
        <v>699000</v>
      </c>
      <c r="Q151" t="str">
        <f>IF(M151&lt;=0,"Cobrada",IF(L151&gt;0,"Parcial",IF(C151&lt;Resumen!$B$3,"Vencida",IF(C151&lt;=Resumen!$B$3+15,"Por vencer","Pendiente"))))</f>
        <v>Vencida</v>
      </c>
      <c r="R151" s="5">
        <f>IF(M151&lt;=0,MAX(0,D151-C151),MAX(0,Resumen!$B$3-C151))</f>
        <v>105</v>
      </c>
      <c r="S151" t="str">
        <f>IF(M151&lt;=0,"Sin prioridad",IF(R151&gt;60,"Alta",IF(R151&gt;30,"Media",IF(C151&lt;=Resumen!$B$3+15,"Media","Baja"))))</f>
        <v>Alta</v>
      </c>
      <c r="T151" t="s">
        <v>63</v>
      </c>
      <c r="U151" t="s">
        <v>91</v>
      </c>
      <c r="W151" s="3">
        <f t="shared" si="17"/>
        <v>46054</v>
      </c>
      <c r="X151" s="3">
        <f t="shared" si="18"/>
        <v>46082</v>
      </c>
      <c r="Y151" t="s">
        <v>237</v>
      </c>
      <c r="Z151" t="str">
        <f>IF(AND(M151&gt;0,C151&lt;Resumen!$B$3),"Sí","No")</f>
        <v>Sí</v>
      </c>
      <c r="AA151" t="str">
        <f t="shared" si="19"/>
        <v>No</v>
      </c>
      <c r="AB151" t="str">
        <f t="shared" si="20"/>
        <v>No</v>
      </c>
    </row>
    <row r="152" spans="1:28">
      <c r="A152" t="s">
        <v>276</v>
      </c>
      <c r="B152" s="3">
        <v>46062</v>
      </c>
      <c r="C152" s="3">
        <v>46107</v>
      </c>
      <c r="D152" s="3">
        <v>46105</v>
      </c>
      <c r="E152" t="s">
        <v>125</v>
      </c>
      <c r="F152" t="s">
        <v>126</v>
      </c>
      <c r="G152" t="s">
        <v>59</v>
      </c>
      <c r="H152" t="s">
        <v>70</v>
      </c>
      <c r="I152" t="s">
        <v>71</v>
      </c>
      <c r="J152" t="s">
        <v>72</v>
      </c>
      <c r="K152" s="4">
        <v>426000</v>
      </c>
      <c r="L152" s="4">
        <v>426000</v>
      </c>
      <c r="M152" s="4">
        <f t="shared" si="14"/>
        <v>0</v>
      </c>
      <c r="N152" s="4">
        <v>1501</v>
      </c>
      <c r="O152" s="4">
        <f t="shared" si="15"/>
        <v>426000</v>
      </c>
      <c r="P152" s="4">
        <f t="shared" si="16"/>
        <v>0</v>
      </c>
      <c r="Q152" t="str">
        <f>IF(M152&lt;=0,"Cobrada",IF(L152&gt;0,"Parcial",IF(C152&lt;Resumen!$B$3,"Vencida",IF(C152&lt;=Resumen!$B$3+15,"Por vencer","Pendiente"))))</f>
        <v>Cobrada</v>
      </c>
      <c r="R152" s="5">
        <f>IF(M152&lt;=0,MAX(0,D152-C152),MAX(0,Resumen!$B$3-C152))</f>
        <v>0</v>
      </c>
      <c r="S152" t="str">
        <f>IF(M152&lt;=0,"Sin prioridad",IF(R152&gt;60,"Alta",IF(R152&gt;30,"Media",IF(C152&lt;=Resumen!$B$3+15,"Media","Baja"))))</f>
        <v>Sin prioridad</v>
      </c>
      <c r="T152" t="s">
        <v>73</v>
      </c>
      <c r="U152" t="s">
        <v>64</v>
      </c>
      <c r="V152" t="s">
        <v>65</v>
      </c>
      <c r="W152" s="3">
        <f t="shared" si="17"/>
        <v>46054</v>
      </c>
      <c r="X152" s="3">
        <f t="shared" si="18"/>
        <v>46082</v>
      </c>
      <c r="Y152" t="s">
        <v>237</v>
      </c>
      <c r="Z152" t="str">
        <f>IF(AND(M152&gt;0,C152&lt;Resumen!$B$3),"Sí","No")</f>
        <v>No</v>
      </c>
      <c r="AA152" t="str">
        <f t="shared" si="19"/>
        <v>No</v>
      </c>
      <c r="AB152" t="str">
        <f t="shared" si="20"/>
        <v>No</v>
      </c>
    </row>
    <row r="153" spans="1:28">
      <c r="A153" t="s">
        <v>277</v>
      </c>
      <c r="B153" s="3">
        <v>46078</v>
      </c>
      <c r="C153" s="3">
        <v>46108</v>
      </c>
      <c r="D153" s="3">
        <v>46118</v>
      </c>
      <c r="E153" t="s">
        <v>118</v>
      </c>
      <c r="F153" t="s">
        <v>22</v>
      </c>
      <c r="G153" t="s">
        <v>59</v>
      </c>
      <c r="H153" t="s">
        <v>60</v>
      </c>
      <c r="I153" t="s">
        <v>61</v>
      </c>
      <c r="J153" t="s">
        <v>72</v>
      </c>
      <c r="K153" s="4">
        <v>645000</v>
      </c>
      <c r="L153" s="4">
        <v>645000</v>
      </c>
      <c r="M153" s="4">
        <f t="shared" si="14"/>
        <v>0</v>
      </c>
      <c r="N153" s="4">
        <v>1501</v>
      </c>
      <c r="O153" s="4">
        <f t="shared" si="15"/>
        <v>645000</v>
      </c>
      <c r="P153" s="4">
        <f t="shared" si="16"/>
        <v>0</v>
      </c>
      <c r="Q153" t="str">
        <f>IF(M153&lt;=0,"Cobrada",IF(L153&gt;0,"Parcial",IF(C153&lt;Resumen!$B$3,"Vencida",IF(C153&lt;=Resumen!$B$3+15,"Por vencer","Pendiente"))))</f>
        <v>Cobrada</v>
      </c>
      <c r="R153" s="5">
        <f>IF(M153&lt;=0,MAX(0,D153-C153),MAX(0,Resumen!$B$3-C153))</f>
        <v>10</v>
      </c>
      <c r="S153" t="str">
        <f>IF(M153&lt;=0,"Sin prioridad",IF(R153&gt;60,"Alta",IF(R153&gt;30,"Media",IF(C153&lt;=Resumen!$B$3+15,"Media","Baja"))))</f>
        <v>Sin prioridad</v>
      </c>
      <c r="T153" t="s">
        <v>87</v>
      </c>
      <c r="U153" t="s">
        <v>64</v>
      </c>
      <c r="V153" t="s">
        <v>74</v>
      </c>
      <c r="W153" s="3">
        <f t="shared" si="17"/>
        <v>46054</v>
      </c>
      <c r="X153" s="3">
        <f t="shared" si="18"/>
        <v>46082</v>
      </c>
      <c r="Y153" t="s">
        <v>237</v>
      </c>
      <c r="Z153" t="str">
        <f>IF(AND(M153&gt;0,C153&lt;Resumen!$B$3),"Sí","No")</f>
        <v>No</v>
      </c>
      <c r="AA153" t="str">
        <f t="shared" si="19"/>
        <v>No</v>
      </c>
      <c r="AB153" t="str">
        <f t="shared" si="20"/>
        <v>No</v>
      </c>
    </row>
    <row r="154" spans="1:28">
      <c r="A154" t="s">
        <v>278</v>
      </c>
      <c r="B154" s="3">
        <v>46069</v>
      </c>
      <c r="C154" s="3">
        <v>46114</v>
      </c>
      <c r="D154" s="3">
        <v>46118</v>
      </c>
      <c r="E154" t="s">
        <v>178</v>
      </c>
      <c r="F154" t="s">
        <v>23</v>
      </c>
      <c r="G154" t="s">
        <v>59</v>
      </c>
      <c r="H154" t="s">
        <v>60</v>
      </c>
      <c r="I154" t="s">
        <v>61</v>
      </c>
      <c r="J154" t="s">
        <v>72</v>
      </c>
      <c r="K154" s="4">
        <v>282000</v>
      </c>
      <c r="L154" s="4">
        <v>209039.43</v>
      </c>
      <c r="M154" s="4">
        <f t="shared" si="14"/>
        <v>72960.570000000007</v>
      </c>
      <c r="N154" s="4">
        <v>1501</v>
      </c>
      <c r="O154" s="4">
        <f t="shared" si="15"/>
        <v>282000</v>
      </c>
      <c r="P154" s="4">
        <f t="shared" si="16"/>
        <v>72960.570000000007</v>
      </c>
      <c r="Q154" t="str">
        <f>IF(M154&lt;=0,"Cobrada",IF(L154&gt;0,"Parcial",IF(C154&lt;Resumen!$B$3,"Vencida",IF(C154&lt;=Resumen!$B$3+15,"Por vencer","Pendiente"))))</f>
        <v>Parcial</v>
      </c>
      <c r="R154" s="5">
        <f>IF(M154&lt;=0,MAX(0,D154-C154),MAX(0,Resumen!$B$3-C154))</f>
        <v>90</v>
      </c>
      <c r="S154" t="str">
        <f>IF(M154&lt;=0,"Sin prioridad",IF(R154&gt;60,"Alta",IF(R154&gt;30,"Media",IF(C154&lt;=Resumen!$B$3+15,"Media","Baja"))))</f>
        <v>Alta</v>
      </c>
      <c r="T154" t="s">
        <v>87</v>
      </c>
      <c r="U154" t="s">
        <v>105</v>
      </c>
      <c r="V154" t="s">
        <v>65</v>
      </c>
      <c r="W154" s="3">
        <f t="shared" si="17"/>
        <v>46054</v>
      </c>
      <c r="X154" s="3">
        <f t="shared" si="18"/>
        <v>46113</v>
      </c>
      <c r="Y154" t="s">
        <v>237</v>
      </c>
      <c r="Z154" t="str">
        <f>IF(AND(M154&gt;0,C154&lt;Resumen!$B$3),"Sí","No")</f>
        <v>Sí</v>
      </c>
      <c r="AA154" t="str">
        <f t="shared" si="19"/>
        <v>Sí</v>
      </c>
      <c r="AB154" t="str">
        <f t="shared" si="20"/>
        <v>No</v>
      </c>
    </row>
    <row r="155" spans="1:28">
      <c r="A155" t="s">
        <v>279</v>
      </c>
      <c r="B155" s="3">
        <v>46103</v>
      </c>
      <c r="C155" s="3">
        <v>46118</v>
      </c>
      <c r="D155" s="3">
        <v>46126</v>
      </c>
      <c r="E155" t="s">
        <v>162</v>
      </c>
      <c r="F155" t="s">
        <v>163</v>
      </c>
      <c r="G155" t="s">
        <v>59</v>
      </c>
      <c r="H155" t="s">
        <v>70</v>
      </c>
      <c r="I155" t="s">
        <v>71</v>
      </c>
      <c r="J155" t="s">
        <v>72</v>
      </c>
      <c r="K155" s="4">
        <v>562000</v>
      </c>
      <c r="L155" s="4">
        <v>562000</v>
      </c>
      <c r="M155" s="4">
        <f t="shared" si="14"/>
        <v>0</v>
      </c>
      <c r="N155" s="4">
        <v>1554</v>
      </c>
      <c r="O155" s="4">
        <f t="shared" si="15"/>
        <v>562000</v>
      </c>
      <c r="P155" s="4">
        <f t="shared" si="16"/>
        <v>0</v>
      </c>
      <c r="Q155" t="str">
        <f>IF(M155&lt;=0,"Cobrada",IF(L155&gt;0,"Parcial",IF(C155&lt;Resumen!$B$3,"Vencida",IF(C155&lt;=Resumen!$B$3+15,"Por vencer","Pendiente"))))</f>
        <v>Cobrada</v>
      </c>
      <c r="R155" s="5">
        <f>IF(M155&lt;=0,MAX(0,D155-C155),MAX(0,Resumen!$B$3-C155))</f>
        <v>8</v>
      </c>
      <c r="S155" t="str">
        <f>IF(M155&lt;=0,"Sin prioridad",IF(R155&gt;60,"Alta",IF(R155&gt;30,"Media",IF(C155&lt;=Resumen!$B$3+15,"Media","Baja"))))</f>
        <v>Sin prioridad</v>
      </c>
      <c r="T155" t="s">
        <v>83</v>
      </c>
      <c r="U155" t="s">
        <v>64</v>
      </c>
      <c r="V155" t="s">
        <v>78</v>
      </c>
      <c r="W155" s="3">
        <f t="shared" si="17"/>
        <v>46082</v>
      </c>
      <c r="X155" s="3">
        <f t="shared" si="18"/>
        <v>46113</v>
      </c>
      <c r="Y155" t="s">
        <v>237</v>
      </c>
      <c r="Z155" t="str">
        <f>IF(AND(M155&gt;0,C155&lt;Resumen!$B$3),"Sí","No")</f>
        <v>No</v>
      </c>
      <c r="AA155" t="str">
        <f t="shared" si="19"/>
        <v>No</v>
      </c>
      <c r="AB155" t="str">
        <f t="shared" si="20"/>
        <v>No</v>
      </c>
    </row>
    <row r="156" spans="1:28">
      <c r="A156" t="s">
        <v>280</v>
      </c>
      <c r="B156" s="3">
        <v>46109</v>
      </c>
      <c r="C156" s="3">
        <v>46124</v>
      </c>
      <c r="D156" s="3">
        <v>46136</v>
      </c>
      <c r="E156" t="s">
        <v>85</v>
      </c>
      <c r="F156" t="s">
        <v>86</v>
      </c>
      <c r="G156" t="s">
        <v>59</v>
      </c>
      <c r="H156" t="s">
        <v>60</v>
      </c>
      <c r="I156" t="s">
        <v>61</v>
      </c>
      <c r="J156" t="s">
        <v>62</v>
      </c>
      <c r="K156" s="4">
        <v>600</v>
      </c>
      <c r="L156" s="4">
        <v>600</v>
      </c>
      <c r="M156" s="4">
        <f t="shared" si="14"/>
        <v>0</v>
      </c>
      <c r="N156" s="4">
        <v>1554</v>
      </c>
      <c r="O156" s="4">
        <f t="shared" si="15"/>
        <v>932400</v>
      </c>
      <c r="P156" s="4">
        <f t="shared" si="16"/>
        <v>0</v>
      </c>
      <c r="Q156" t="str">
        <f>IF(M156&lt;=0,"Cobrada",IF(L156&gt;0,"Parcial",IF(C156&lt;Resumen!$B$3,"Vencida",IF(C156&lt;=Resumen!$B$3+15,"Por vencer","Pendiente"))))</f>
        <v>Cobrada</v>
      </c>
      <c r="R156" s="5">
        <f>IF(M156&lt;=0,MAX(0,D156-C156),MAX(0,Resumen!$B$3-C156))</f>
        <v>12</v>
      </c>
      <c r="S156" t="str">
        <f>IF(M156&lt;=0,"Sin prioridad",IF(R156&gt;60,"Alta",IF(R156&gt;30,"Media",IF(C156&lt;=Resumen!$B$3+15,"Media","Baja"))))</f>
        <v>Sin prioridad</v>
      </c>
      <c r="T156" t="s">
        <v>87</v>
      </c>
      <c r="U156" t="s">
        <v>64</v>
      </c>
      <c r="V156" t="s">
        <v>106</v>
      </c>
      <c r="W156" s="3">
        <f t="shared" si="17"/>
        <v>46082</v>
      </c>
      <c r="X156" s="3">
        <f t="shared" si="18"/>
        <v>46113</v>
      </c>
      <c r="Y156" t="s">
        <v>237</v>
      </c>
      <c r="Z156" t="str">
        <f>IF(AND(M156&gt;0,C156&lt;Resumen!$B$3),"Sí","No")</f>
        <v>No</v>
      </c>
      <c r="AA156" t="str">
        <f t="shared" si="19"/>
        <v>No</v>
      </c>
      <c r="AB156" t="str">
        <f t="shared" si="20"/>
        <v>Sí</v>
      </c>
    </row>
    <row r="157" spans="1:28">
      <c r="A157" t="s">
        <v>281</v>
      </c>
      <c r="B157" s="3">
        <v>46095</v>
      </c>
      <c r="C157" s="3">
        <v>46125</v>
      </c>
      <c r="D157" s="3">
        <v>46143</v>
      </c>
      <c r="E157" t="s">
        <v>90</v>
      </c>
      <c r="F157" t="s">
        <v>12</v>
      </c>
      <c r="G157" t="s">
        <v>59</v>
      </c>
      <c r="H157" t="s">
        <v>110</v>
      </c>
      <c r="I157" t="s">
        <v>111</v>
      </c>
      <c r="J157" t="s">
        <v>72</v>
      </c>
      <c r="K157" s="4">
        <v>736000</v>
      </c>
      <c r="L157" s="4">
        <v>736000</v>
      </c>
      <c r="M157" s="4">
        <f t="shared" si="14"/>
        <v>0</v>
      </c>
      <c r="N157" s="4">
        <v>1554</v>
      </c>
      <c r="O157" s="4">
        <f t="shared" si="15"/>
        <v>736000</v>
      </c>
      <c r="P157" s="4">
        <f t="shared" si="16"/>
        <v>0</v>
      </c>
      <c r="Q157" t="str">
        <f>IF(M157&lt;=0,"Cobrada",IF(L157&gt;0,"Parcial",IF(C157&lt;Resumen!$B$3,"Vencida",IF(C157&lt;=Resumen!$B$3+15,"Por vencer","Pendiente"))))</f>
        <v>Cobrada</v>
      </c>
      <c r="R157" s="5">
        <f>IF(M157&lt;=0,MAX(0,D157-C157),MAX(0,Resumen!$B$3-C157))</f>
        <v>18</v>
      </c>
      <c r="S157" t="str">
        <f>IF(M157&lt;=0,"Sin prioridad",IF(R157&gt;60,"Alta",IF(R157&gt;30,"Media",IF(C157&lt;=Resumen!$B$3+15,"Media","Baja"))))</f>
        <v>Sin prioridad</v>
      </c>
      <c r="T157" t="s">
        <v>63</v>
      </c>
      <c r="U157" t="s">
        <v>64</v>
      </c>
      <c r="V157" t="s">
        <v>78</v>
      </c>
      <c r="W157" s="3">
        <f t="shared" si="17"/>
        <v>46082</v>
      </c>
      <c r="X157" s="3">
        <f t="shared" si="18"/>
        <v>46113</v>
      </c>
      <c r="Y157" t="s">
        <v>237</v>
      </c>
      <c r="Z157" t="str">
        <f>IF(AND(M157&gt;0,C157&lt;Resumen!$B$3),"Sí","No")</f>
        <v>No</v>
      </c>
      <c r="AA157" t="str">
        <f t="shared" si="19"/>
        <v>No</v>
      </c>
      <c r="AB157" t="str">
        <f t="shared" si="20"/>
        <v>No</v>
      </c>
    </row>
    <row r="158" spans="1:28">
      <c r="A158" t="s">
        <v>282</v>
      </c>
      <c r="B158" s="3">
        <v>46108</v>
      </c>
      <c r="C158" s="3">
        <v>46138</v>
      </c>
      <c r="D158" s="3">
        <v>46136</v>
      </c>
      <c r="E158" t="s">
        <v>206</v>
      </c>
      <c r="F158" t="s">
        <v>207</v>
      </c>
      <c r="G158" t="s">
        <v>59</v>
      </c>
      <c r="H158" t="s">
        <v>60</v>
      </c>
      <c r="I158" t="s">
        <v>61</v>
      </c>
      <c r="J158" t="s">
        <v>72</v>
      </c>
      <c r="K158" s="4">
        <v>426000</v>
      </c>
      <c r="L158" s="4">
        <v>426000</v>
      </c>
      <c r="M158" s="4">
        <f t="shared" si="14"/>
        <v>0</v>
      </c>
      <c r="N158" s="4">
        <v>1554</v>
      </c>
      <c r="O158" s="4">
        <f t="shared" si="15"/>
        <v>426000</v>
      </c>
      <c r="P158" s="4">
        <f t="shared" si="16"/>
        <v>0</v>
      </c>
      <c r="Q158" t="str">
        <f>IF(M158&lt;=0,"Cobrada",IF(L158&gt;0,"Parcial",IF(C158&lt;Resumen!$B$3,"Vencida",IF(C158&lt;=Resumen!$B$3+15,"Por vencer","Pendiente"))))</f>
        <v>Cobrada</v>
      </c>
      <c r="R158" s="5">
        <f>IF(M158&lt;=0,MAX(0,D158-C158),MAX(0,Resumen!$B$3-C158))</f>
        <v>0</v>
      </c>
      <c r="S158" t="str">
        <f>IF(M158&lt;=0,"Sin prioridad",IF(R158&gt;60,"Alta",IF(R158&gt;30,"Media",IF(C158&lt;=Resumen!$B$3+15,"Media","Baja"))))</f>
        <v>Sin prioridad</v>
      </c>
      <c r="T158" t="s">
        <v>83</v>
      </c>
      <c r="U158" t="s">
        <v>64</v>
      </c>
      <c r="V158" t="s">
        <v>65</v>
      </c>
      <c r="W158" s="3">
        <f t="shared" si="17"/>
        <v>46082</v>
      </c>
      <c r="X158" s="3">
        <f t="shared" si="18"/>
        <v>46113</v>
      </c>
      <c r="Y158" t="s">
        <v>237</v>
      </c>
      <c r="Z158" t="str">
        <f>IF(AND(M158&gt;0,C158&lt;Resumen!$B$3),"Sí","No")</f>
        <v>No</v>
      </c>
      <c r="AA158" t="str">
        <f t="shared" si="19"/>
        <v>No</v>
      </c>
      <c r="AB158" t="str">
        <f t="shared" si="20"/>
        <v>No</v>
      </c>
    </row>
    <row r="159" spans="1:28">
      <c r="A159" t="s">
        <v>283</v>
      </c>
      <c r="B159" s="3">
        <v>46109</v>
      </c>
      <c r="C159" s="3">
        <v>46124</v>
      </c>
      <c r="D159" s="3">
        <v>46128</v>
      </c>
      <c r="E159" t="s">
        <v>162</v>
      </c>
      <c r="F159" t="s">
        <v>163</v>
      </c>
      <c r="G159" t="s">
        <v>59</v>
      </c>
      <c r="H159" t="s">
        <v>113</v>
      </c>
      <c r="I159" t="s">
        <v>114</v>
      </c>
      <c r="J159" t="s">
        <v>62</v>
      </c>
      <c r="K159" s="4">
        <v>600</v>
      </c>
      <c r="L159" s="4">
        <v>600</v>
      </c>
      <c r="M159" s="4">
        <f t="shared" si="14"/>
        <v>0</v>
      </c>
      <c r="N159" s="4">
        <v>1554</v>
      </c>
      <c r="O159" s="4">
        <f t="shared" si="15"/>
        <v>932400</v>
      </c>
      <c r="P159" s="4">
        <f t="shared" si="16"/>
        <v>0</v>
      </c>
      <c r="Q159" t="str">
        <f>IF(M159&lt;=0,"Cobrada",IF(L159&gt;0,"Parcial",IF(C159&lt;Resumen!$B$3,"Vencida",IF(C159&lt;=Resumen!$B$3+15,"Por vencer","Pendiente"))))</f>
        <v>Cobrada</v>
      </c>
      <c r="R159" s="5">
        <f>IF(M159&lt;=0,MAX(0,D159-C159),MAX(0,Resumen!$B$3-C159))</f>
        <v>4</v>
      </c>
      <c r="S159" t="str">
        <f>IF(M159&lt;=0,"Sin prioridad",IF(R159&gt;60,"Alta",IF(R159&gt;30,"Media",IF(C159&lt;=Resumen!$B$3+15,"Media","Baja"))))</f>
        <v>Sin prioridad</v>
      </c>
      <c r="T159" t="s">
        <v>83</v>
      </c>
      <c r="U159" t="s">
        <v>64</v>
      </c>
      <c r="V159" t="s">
        <v>106</v>
      </c>
      <c r="W159" s="3">
        <f t="shared" si="17"/>
        <v>46082</v>
      </c>
      <c r="X159" s="3">
        <f t="shared" si="18"/>
        <v>46113</v>
      </c>
      <c r="Y159" t="s">
        <v>237</v>
      </c>
      <c r="Z159" t="str">
        <f>IF(AND(M159&gt;0,C159&lt;Resumen!$B$3),"Sí","No")</f>
        <v>No</v>
      </c>
      <c r="AA159" t="str">
        <f t="shared" si="19"/>
        <v>No</v>
      </c>
      <c r="AB159" t="str">
        <f t="shared" si="20"/>
        <v>Sí</v>
      </c>
    </row>
    <row r="160" spans="1:28">
      <c r="A160" t="s">
        <v>284</v>
      </c>
      <c r="B160" s="3">
        <v>46097</v>
      </c>
      <c r="C160" s="3">
        <v>46142</v>
      </c>
      <c r="D160" s="3">
        <v>46159</v>
      </c>
      <c r="E160" t="s">
        <v>129</v>
      </c>
      <c r="F160" t="s">
        <v>130</v>
      </c>
      <c r="G160" t="s">
        <v>59</v>
      </c>
      <c r="H160" t="s">
        <v>60</v>
      </c>
      <c r="I160" t="s">
        <v>61</v>
      </c>
      <c r="J160" t="s">
        <v>62</v>
      </c>
      <c r="K160" s="4">
        <v>600</v>
      </c>
      <c r="L160" s="4">
        <v>600</v>
      </c>
      <c r="M160" s="4">
        <f t="shared" si="14"/>
        <v>0</v>
      </c>
      <c r="N160" s="4">
        <v>1554</v>
      </c>
      <c r="O160" s="4">
        <f t="shared" si="15"/>
        <v>932400</v>
      </c>
      <c r="P160" s="4">
        <f t="shared" si="16"/>
        <v>0</v>
      </c>
      <c r="Q160" t="str">
        <f>IF(M160&lt;=0,"Cobrada",IF(L160&gt;0,"Parcial",IF(C160&lt;Resumen!$B$3,"Vencida",IF(C160&lt;=Resumen!$B$3+15,"Por vencer","Pendiente"))))</f>
        <v>Cobrada</v>
      </c>
      <c r="R160" s="5">
        <f>IF(M160&lt;=0,MAX(0,D160-C160),MAX(0,Resumen!$B$3-C160))</f>
        <v>17</v>
      </c>
      <c r="S160" t="str">
        <f>IF(M160&lt;=0,"Sin prioridad",IF(R160&gt;60,"Alta",IF(R160&gt;30,"Media",IF(C160&lt;=Resumen!$B$3+15,"Media","Baja"))))</f>
        <v>Sin prioridad</v>
      </c>
      <c r="T160" t="s">
        <v>83</v>
      </c>
      <c r="U160" t="s">
        <v>64</v>
      </c>
      <c r="W160" s="3">
        <f t="shared" si="17"/>
        <v>46082</v>
      </c>
      <c r="X160" s="3">
        <f t="shared" si="18"/>
        <v>46113</v>
      </c>
      <c r="Y160" t="s">
        <v>237</v>
      </c>
      <c r="Z160" t="str">
        <f>IF(AND(M160&gt;0,C160&lt;Resumen!$B$3),"Sí","No")</f>
        <v>No</v>
      </c>
      <c r="AA160" t="str">
        <f t="shared" si="19"/>
        <v>No</v>
      </c>
      <c r="AB160" t="str">
        <f t="shared" si="20"/>
        <v>Sí</v>
      </c>
    </row>
    <row r="161" spans="1:28">
      <c r="A161" t="s">
        <v>285</v>
      </c>
      <c r="B161" s="3">
        <v>46084</v>
      </c>
      <c r="C161" s="3">
        <v>46114</v>
      </c>
      <c r="D161" s="3"/>
      <c r="E161" t="s">
        <v>90</v>
      </c>
      <c r="F161" t="s">
        <v>12</v>
      </c>
      <c r="G161" t="s">
        <v>59</v>
      </c>
      <c r="H161" t="s">
        <v>60</v>
      </c>
      <c r="I161" t="s">
        <v>61</v>
      </c>
      <c r="J161" t="s">
        <v>72</v>
      </c>
      <c r="K161" s="4">
        <v>296000</v>
      </c>
      <c r="L161" s="4">
        <v>0</v>
      </c>
      <c r="M161" s="4">
        <f t="shared" si="14"/>
        <v>296000</v>
      </c>
      <c r="N161" s="4">
        <v>1554</v>
      </c>
      <c r="O161" s="4">
        <f t="shared" si="15"/>
        <v>296000</v>
      </c>
      <c r="P161" s="4">
        <f t="shared" si="16"/>
        <v>296000</v>
      </c>
      <c r="Q161" t="str">
        <f>IF(M161&lt;=0,"Cobrada",IF(L161&gt;0,"Parcial",IF(C161&lt;Resumen!$B$3,"Vencida",IF(C161&lt;=Resumen!$B$3+15,"Por vencer","Pendiente"))))</f>
        <v>Vencida</v>
      </c>
      <c r="R161" s="5">
        <f>IF(M161&lt;=0,MAX(0,D161-C161),MAX(0,Resumen!$B$3-C161))</f>
        <v>90</v>
      </c>
      <c r="S161" t="str">
        <f>IF(M161&lt;=0,"Sin prioridad",IF(R161&gt;60,"Alta",IF(R161&gt;30,"Media",IF(C161&lt;=Resumen!$B$3+15,"Media","Baja"))))</f>
        <v>Alta</v>
      </c>
      <c r="T161" t="s">
        <v>63</v>
      </c>
      <c r="U161" t="s">
        <v>179</v>
      </c>
      <c r="V161" t="s">
        <v>80</v>
      </c>
      <c r="W161" s="3">
        <f t="shared" si="17"/>
        <v>46082</v>
      </c>
      <c r="X161" s="3">
        <f t="shared" si="18"/>
        <v>46113</v>
      </c>
      <c r="Y161" t="s">
        <v>237</v>
      </c>
      <c r="Z161" t="str">
        <f>IF(AND(M161&gt;0,C161&lt;Resumen!$B$3),"Sí","No")</f>
        <v>Sí</v>
      </c>
      <c r="AA161" t="str">
        <f t="shared" si="19"/>
        <v>No</v>
      </c>
      <c r="AB161" t="str">
        <f t="shared" si="20"/>
        <v>No</v>
      </c>
    </row>
    <row r="162" spans="1:28">
      <c r="A162" t="s">
        <v>286</v>
      </c>
      <c r="B162" s="3">
        <v>46107</v>
      </c>
      <c r="C162" s="3">
        <v>46152</v>
      </c>
      <c r="D162" s="3"/>
      <c r="E162" t="s">
        <v>120</v>
      </c>
      <c r="F162" t="s">
        <v>14</v>
      </c>
      <c r="G162" t="s">
        <v>59</v>
      </c>
      <c r="H162" t="s">
        <v>140</v>
      </c>
      <c r="I162" t="s">
        <v>141</v>
      </c>
      <c r="J162" t="s">
        <v>72</v>
      </c>
      <c r="K162" s="4">
        <v>1223000</v>
      </c>
      <c r="L162" s="4">
        <v>0</v>
      </c>
      <c r="M162" s="4">
        <f t="shared" si="14"/>
        <v>1223000</v>
      </c>
      <c r="N162" s="4">
        <v>1554</v>
      </c>
      <c r="O162" s="4">
        <f t="shared" si="15"/>
        <v>1223000</v>
      </c>
      <c r="P162" s="4">
        <f t="shared" si="16"/>
        <v>1223000</v>
      </c>
      <c r="Q162" t="str">
        <f>IF(M162&lt;=0,"Cobrada",IF(L162&gt;0,"Parcial",IF(C162&lt;Resumen!$B$3,"Vencida",IF(C162&lt;=Resumen!$B$3+15,"Por vencer","Pendiente"))))</f>
        <v>Vencida</v>
      </c>
      <c r="R162" s="5">
        <f>IF(M162&lt;=0,MAX(0,D162-C162),MAX(0,Resumen!$B$3-C162))</f>
        <v>52</v>
      </c>
      <c r="S162" t="str">
        <f>IF(M162&lt;=0,"Sin prioridad",IF(R162&gt;60,"Alta",IF(R162&gt;30,"Media",IF(C162&lt;=Resumen!$B$3+15,"Media","Baja"))))</f>
        <v>Media</v>
      </c>
      <c r="T162" t="s">
        <v>63</v>
      </c>
      <c r="U162" t="s">
        <v>91</v>
      </c>
      <c r="W162" s="3">
        <f t="shared" si="17"/>
        <v>46082</v>
      </c>
      <c r="X162" s="3">
        <f t="shared" si="18"/>
        <v>46143</v>
      </c>
      <c r="Y162" t="s">
        <v>237</v>
      </c>
      <c r="Z162" t="str">
        <f>IF(AND(M162&gt;0,C162&lt;Resumen!$B$3),"Sí","No")</f>
        <v>Sí</v>
      </c>
      <c r="AA162" t="str">
        <f t="shared" si="19"/>
        <v>No</v>
      </c>
      <c r="AB162" t="str">
        <f t="shared" si="20"/>
        <v>No</v>
      </c>
    </row>
    <row r="163" spans="1:28">
      <c r="A163" t="s">
        <v>287</v>
      </c>
      <c r="B163" s="3">
        <v>46096</v>
      </c>
      <c r="C163" s="3">
        <v>46126</v>
      </c>
      <c r="D163" s="3"/>
      <c r="E163" t="s">
        <v>90</v>
      </c>
      <c r="F163" t="s">
        <v>12</v>
      </c>
      <c r="G163" t="s">
        <v>59</v>
      </c>
      <c r="H163" t="s">
        <v>113</v>
      </c>
      <c r="I163" t="s">
        <v>114</v>
      </c>
      <c r="J163" t="s">
        <v>62</v>
      </c>
      <c r="K163" s="4">
        <v>2350</v>
      </c>
      <c r="L163" s="4">
        <v>0</v>
      </c>
      <c r="M163" s="4">
        <f t="shared" si="14"/>
        <v>2350</v>
      </c>
      <c r="N163" s="4">
        <v>1554</v>
      </c>
      <c r="O163" s="4">
        <f t="shared" si="15"/>
        <v>3651900</v>
      </c>
      <c r="P163" s="4">
        <f t="shared" si="16"/>
        <v>3651900</v>
      </c>
      <c r="Q163" t="str">
        <f>IF(M163&lt;=0,"Cobrada",IF(L163&gt;0,"Parcial",IF(C163&lt;Resumen!$B$3,"Vencida",IF(C163&lt;=Resumen!$B$3+15,"Por vencer","Pendiente"))))</f>
        <v>Vencida</v>
      </c>
      <c r="R163" s="5">
        <f>IF(M163&lt;=0,MAX(0,D163-C163),MAX(0,Resumen!$B$3-C163))</f>
        <v>78</v>
      </c>
      <c r="S163" t="str">
        <f>IF(M163&lt;=0,"Sin prioridad",IF(R163&gt;60,"Alta",IF(R163&gt;30,"Media",IF(C163&lt;=Resumen!$B$3+15,"Media","Baja"))))</f>
        <v>Alta</v>
      </c>
      <c r="T163" t="s">
        <v>63</v>
      </c>
      <c r="U163" t="s">
        <v>91</v>
      </c>
      <c r="V163" t="s">
        <v>106</v>
      </c>
      <c r="W163" s="3">
        <f t="shared" si="17"/>
        <v>46082</v>
      </c>
      <c r="X163" s="3">
        <f t="shared" si="18"/>
        <v>46113</v>
      </c>
      <c r="Y163" t="s">
        <v>237</v>
      </c>
      <c r="Z163" t="str">
        <f>IF(AND(M163&gt;0,C163&lt;Resumen!$B$3),"Sí","No")</f>
        <v>Sí</v>
      </c>
      <c r="AA163" t="str">
        <f t="shared" si="19"/>
        <v>No</v>
      </c>
      <c r="AB163" t="str">
        <f t="shared" si="20"/>
        <v>Sí</v>
      </c>
    </row>
    <row r="164" spans="1:28">
      <c r="A164" t="s">
        <v>288</v>
      </c>
      <c r="B164" s="3">
        <v>46102</v>
      </c>
      <c r="C164" s="3">
        <v>46147</v>
      </c>
      <c r="D164" s="3">
        <v>46152</v>
      </c>
      <c r="E164" t="s">
        <v>125</v>
      </c>
      <c r="F164" t="s">
        <v>126</v>
      </c>
      <c r="G164" t="s">
        <v>59</v>
      </c>
      <c r="H164" t="s">
        <v>70</v>
      </c>
      <c r="I164" t="s">
        <v>71</v>
      </c>
      <c r="J164" t="s">
        <v>72</v>
      </c>
      <c r="K164" s="4">
        <v>523000</v>
      </c>
      <c r="L164" s="4">
        <v>523000</v>
      </c>
      <c r="M164" s="4">
        <f t="shared" si="14"/>
        <v>0</v>
      </c>
      <c r="N164" s="4">
        <v>1554</v>
      </c>
      <c r="O164" s="4">
        <f t="shared" si="15"/>
        <v>523000</v>
      </c>
      <c r="P164" s="4">
        <f t="shared" si="16"/>
        <v>0</v>
      </c>
      <c r="Q164" t="str">
        <f>IF(M164&lt;=0,"Cobrada",IF(L164&gt;0,"Parcial",IF(C164&lt;Resumen!$B$3,"Vencida",IF(C164&lt;=Resumen!$B$3+15,"Por vencer","Pendiente"))))</f>
        <v>Cobrada</v>
      </c>
      <c r="R164" s="5">
        <f>IF(M164&lt;=0,MAX(0,D164-C164),MAX(0,Resumen!$B$3-C164))</f>
        <v>5</v>
      </c>
      <c r="S164" t="str">
        <f>IF(M164&lt;=0,"Sin prioridad",IF(R164&gt;60,"Alta",IF(R164&gt;30,"Media",IF(C164&lt;=Resumen!$B$3+15,"Media","Baja"))))</f>
        <v>Sin prioridad</v>
      </c>
      <c r="T164" t="s">
        <v>73</v>
      </c>
      <c r="U164" t="s">
        <v>64</v>
      </c>
      <c r="W164" s="3">
        <f t="shared" si="17"/>
        <v>46082</v>
      </c>
      <c r="X164" s="3">
        <f t="shared" si="18"/>
        <v>46143</v>
      </c>
      <c r="Y164" t="s">
        <v>237</v>
      </c>
      <c r="Z164" t="str">
        <f>IF(AND(M164&gt;0,C164&lt;Resumen!$B$3),"Sí","No")</f>
        <v>No</v>
      </c>
      <c r="AA164" t="str">
        <f t="shared" si="19"/>
        <v>No</v>
      </c>
      <c r="AB164" t="str">
        <f t="shared" si="20"/>
        <v>No</v>
      </c>
    </row>
    <row r="165" spans="1:28">
      <c r="A165" t="s">
        <v>289</v>
      </c>
      <c r="B165" s="3">
        <v>46107</v>
      </c>
      <c r="C165" s="3">
        <v>46122</v>
      </c>
      <c r="D165" s="3">
        <v>46126</v>
      </c>
      <c r="E165" t="s">
        <v>68</v>
      </c>
      <c r="F165" t="s">
        <v>69</v>
      </c>
      <c r="G165" t="s">
        <v>59</v>
      </c>
      <c r="H165" t="s">
        <v>113</v>
      </c>
      <c r="I165" t="s">
        <v>114</v>
      </c>
      <c r="J165" t="s">
        <v>62</v>
      </c>
      <c r="K165" s="4">
        <v>2250</v>
      </c>
      <c r="L165" s="4">
        <v>2250</v>
      </c>
      <c r="M165" s="4">
        <f t="shared" si="14"/>
        <v>0</v>
      </c>
      <c r="N165" s="4">
        <v>1554</v>
      </c>
      <c r="O165" s="4">
        <f t="shared" si="15"/>
        <v>3496500</v>
      </c>
      <c r="P165" s="4">
        <f t="shared" si="16"/>
        <v>0</v>
      </c>
      <c r="Q165" t="str">
        <f>IF(M165&lt;=0,"Cobrada",IF(L165&gt;0,"Parcial",IF(C165&lt;Resumen!$B$3,"Vencida",IF(C165&lt;=Resumen!$B$3+15,"Por vencer","Pendiente"))))</f>
        <v>Cobrada</v>
      </c>
      <c r="R165" s="5">
        <f>IF(M165&lt;=0,MAX(0,D165-C165),MAX(0,Resumen!$B$3-C165))</f>
        <v>4</v>
      </c>
      <c r="S165" t="str">
        <f>IF(M165&lt;=0,"Sin prioridad",IF(R165&gt;60,"Alta",IF(R165&gt;30,"Media",IF(C165&lt;=Resumen!$B$3+15,"Media","Baja"))))</f>
        <v>Sin prioridad</v>
      </c>
      <c r="T165" t="s">
        <v>73</v>
      </c>
      <c r="U165" t="s">
        <v>64</v>
      </c>
      <c r="V165" t="s">
        <v>80</v>
      </c>
      <c r="W165" s="3">
        <f t="shared" si="17"/>
        <v>46082</v>
      </c>
      <c r="X165" s="3">
        <f t="shared" si="18"/>
        <v>46113</v>
      </c>
      <c r="Y165" t="s">
        <v>237</v>
      </c>
      <c r="Z165" t="str">
        <f>IF(AND(M165&gt;0,C165&lt;Resumen!$B$3),"Sí","No")</f>
        <v>No</v>
      </c>
      <c r="AA165" t="str">
        <f t="shared" si="19"/>
        <v>No</v>
      </c>
      <c r="AB165" t="str">
        <f t="shared" si="20"/>
        <v>Sí</v>
      </c>
    </row>
    <row r="166" spans="1:28">
      <c r="A166" t="s">
        <v>290</v>
      </c>
      <c r="B166" s="3">
        <v>46106</v>
      </c>
      <c r="C166" s="3">
        <v>46151</v>
      </c>
      <c r="D166" s="3">
        <v>46155</v>
      </c>
      <c r="E166" t="s">
        <v>82</v>
      </c>
      <c r="F166" t="s">
        <v>15</v>
      </c>
      <c r="G166" t="s">
        <v>59</v>
      </c>
      <c r="H166" t="s">
        <v>70</v>
      </c>
      <c r="I166" t="s">
        <v>71</v>
      </c>
      <c r="J166" t="s">
        <v>72</v>
      </c>
      <c r="K166" s="4">
        <v>508000</v>
      </c>
      <c r="L166" s="4">
        <v>394389.94</v>
      </c>
      <c r="M166" s="4">
        <f t="shared" si="14"/>
        <v>113610.06</v>
      </c>
      <c r="N166" s="4">
        <v>1554</v>
      </c>
      <c r="O166" s="4">
        <f t="shared" si="15"/>
        <v>508000</v>
      </c>
      <c r="P166" s="4">
        <f t="shared" si="16"/>
        <v>113610.06</v>
      </c>
      <c r="Q166" t="str">
        <f>IF(M166&lt;=0,"Cobrada",IF(L166&gt;0,"Parcial",IF(C166&lt;Resumen!$B$3,"Vencida",IF(C166&lt;=Resumen!$B$3+15,"Por vencer","Pendiente"))))</f>
        <v>Parcial</v>
      </c>
      <c r="R166" s="5">
        <f>IF(M166&lt;=0,MAX(0,D166-C166),MAX(0,Resumen!$B$3-C166))</f>
        <v>53</v>
      </c>
      <c r="S166" t="str">
        <f>IF(M166&lt;=0,"Sin prioridad",IF(R166&gt;60,"Alta",IF(R166&gt;30,"Media",IF(C166&lt;=Resumen!$B$3+15,"Media","Baja"))))</f>
        <v>Media</v>
      </c>
      <c r="T166" t="s">
        <v>83</v>
      </c>
      <c r="U166" t="s">
        <v>105</v>
      </c>
      <c r="V166" t="s">
        <v>78</v>
      </c>
      <c r="W166" s="3">
        <f t="shared" si="17"/>
        <v>46082</v>
      </c>
      <c r="X166" s="3">
        <f t="shared" si="18"/>
        <v>46143</v>
      </c>
      <c r="Y166" t="s">
        <v>237</v>
      </c>
      <c r="Z166" t="str">
        <f>IF(AND(M166&gt;0,C166&lt;Resumen!$B$3),"Sí","No")</f>
        <v>Sí</v>
      </c>
      <c r="AA166" t="str">
        <f t="shared" si="19"/>
        <v>Sí</v>
      </c>
      <c r="AB166" t="str">
        <f t="shared" si="20"/>
        <v>No</v>
      </c>
    </row>
    <row r="167" spans="1:28">
      <c r="A167" t="s">
        <v>291</v>
      </c>
      <c r="B167" s="3">
        <v>46090</v>
      </c>
      <c r="C167" s="3">
        <v>46105</v>
      </c>
      <c r="D167" s="3">
        <v>46105</v>
      </c>
      <c r="E167" t="s">
        <v>97</v>
      </c>
      <c r="F167" t="s">
        <v>98</v>
      </c>
      <c r="G167" t="s">
        <v>59</v>
      </c>
      <c r="H167" t="s">
        <v>70</v>
      </c>
      <c r="I167" t="s">
        <v>71</v>
      </c>
      <c r="J167" t="s">
        <v>72</v>
      </c>
      <c r="K167" s="4">
        <v>931000</v>
      </c>
      <c r="L167" s="4">
        <v>931000</v>
      </c>
      <c r="M167" s="4">
        <f t="shared" si="14"/>
        <v>0</v>
      </c>
      <c r="N167" s="4">
        <v>1554</v>
      </c>
      <c r="O167" s="4">
        <f t="shared" si="15"/>
        <v>931000</v>
      </c>
      <c r="P167" s="4">
        <f t="shared" si="16"/>
        <v>0</v>
      </c>
      <c r="Q167" t="str">
        <f>IF(M167&lt;=0,"Cobrada",IF(L167&gt;0,"Parcial",IF(C167&lt;Resumen!$B$3,"Vencida",IF(C167&lt;=Resumen!$B$3+15,"Por vencer","Pendiente"))))</f>
        <v>Cobrada</v>
      </c>
      <c r="R167" s="5">
        <f>IF(M167&lt;=0,MAX(0,D167-C167),MAX(0,Resumen!$B$3-C167))</f>
        <v>0</v>
      </c>
      <c r="S167" t="str">
        <f>IF(M167&lt;=0,"Sin prioridad",IF(R167&gt;60,"Alta",IF(R167&gt;30,"Media",IF(C167&lt;=Resumen!$B$3+15,"Media","Baja"))))</f>
        <v>Sin prioridad</v>
      </c>
      <c r="T167" t="s">
        <v>87</v>
      </c>
      <c r="U167" t="s">
        <v>64</v>
      </c>
      <c r="V167" t="s">
        <v>80</v>
      </c>
      <c r="W167" s="3">
        <f t="shared" si="17"/>
        <v>46082</v>
      </c>
      <c r="X167" s="3">
        <f t="shared" si="18"/>
        <v>46082</v>
      </c>
      <c r="Y167" t="s">
        <v>237</v>
      </c>
      <c r="Z167" t="str">
        <f>IF(AND(M167&gt;0,C167&lt;Resumen!$B$3),"Sí","No")</f>
        <v>No</v>
      </c>
      <c r="AA167" t="str">
        <f t="shared" si="19"/>
        <v>No</v>
      </c>
      <c r="AB167" t="str">
        <f t="shared" si="20"/>
        <v>No</v>
      </c>
    </row>
    <row r="168" spans="1:28">
      <c r="A168" t="s">
        <v>292</v>
      </c>
      <c r="B168" s="3">
        <v>46103</v>
      </c>
      <c r="C168" s="3">
        <v>46148</v>
      </c>
      <c r="D168" s="3">
        <v>46152</v>
      </c>
      <c r="E168" t="s">
        <v>178</v>
      </c>
      <c r="F168" t="s">
        <v>23</v>
      </c>
      <c r="G168" t="s">
        <v>59</v>
      </c>
      <c r="H168" t="s">
        <v>60</v>
      </c>
      <c r="I168" t="s">
        <v>61</v>
      </c>
      <c r="J168" t="s">
        <v>62</v>
      </c>
      <c r="K168" s="4">
        <v>400</v>
      </c>
      <c r="L168" s="4">
        <v>400</v>
      </c>
      <c r="M168" s="4">
        <f t="shared" si="14"/>
        <v>0</v>
      </c>
      <c r="N168" s="4">
        <v>1554</v>
      </c>
      <c r="O168" s="4">
        <f t="shared" si="15"/>
        <v>621600</v>
      </c>
      <c r="P168" s="4">
        <f t="shared" si="16"/>
        <v>0</v>
      </c>
      <c r="Q168" t="str">
        <f>IF(M168&lt;=0,"Cobrada",IF(L168&gt;0,"Parcial",IF(C168&lt;Resumen!$B$3,"Vencida",IF(C168&lt;=Resumen!$B$3+15,"Por vencer","Pendiente"))))</f>
        <v>Cobrada</v>
      </c>
      <c r="R168" s="5">
        <f>IF(M168&lt;=0,MAX(0,D168-C168),MAX(0,Resumen!$B$3-C168))</f>
        <v>4</v>
      </c>
      <c r="S168" t="str">
        <f>IF(M168&lt;=0,"Sin prioridad",IF(R168&gt;60,"Alta",IF(R168&gt;30,"Media",IF(C168&lt;=Resumen!$B$3+15,"Media","Baja"))))</f>
        <v>Sin prioridad</v>
      </c>
      <c r="T168" t="s">
        <v>87</v>
      </c>
      <c r="U168" t="s">
        <v>64</v>
      </c>
      <c r="V168" t="s">
        <v>65</v>
      </c>
      <c r="W168" s="3">
        <f t="shared" si="17"/>
        <v>46082</v>
      </c>
      <c r="X168" s="3">
        <f t="shared" si="18"/>
        <v>46143</v>
      </c>
      <c r="Y168" t="s">
        <v>237</v>
      </c>
      <c r="Z168" t="str">
        <f>IF(AND(M168&gt;0,C168&lt;Resumen!$B$3),"Sí","No")</f>
        <v>No</v>
      </c>
      <c r="AA168" t="str">
        <f t="shared" si="19"/>
        <v>No</v>
      </c>
      <c r="AB168" t="str">
        <f t="shared" si="20"/>
        <v>Sí</v>
      </c>
    </row>
    <row r="169" spans="1:28">
      <c r="A169" t="s">
        <v>293</v>
      </c>
      <c r="B169" s="3">
        <v>46089</v>
      </c>
      <c r="C169" s="3">
        <v>46134</v>
      </c>
      <c r="D169" s="3">
        <v>46154</v>
      </c>
      <c r="E169" t="s">
        <v>120</v>
      </c>
      <c r="F169" t="s">
        <v>14</v>
      </c>
      <c r="G169" t="s">
        <v>59</v>
      </c>
      <c r="H169" t="s">
        <v>70</v>
      </c>
      <c r="I169" t="s">
        <v>71</v>
      </c>
      <c r="J169" t="s">
        <v>72</v>
      </c>
      <c r="K169" s="4">
        <v>403000</v>
      </c>
      <c r="L169" s="4">
        <v>224811.18</v>
      </c>
      <c r="M169" s="4">
        <f t="shared" si="14"/>
        <v>178188.82</v>
      </c>
      <c r="N169" s="4">
        <v>1554</v>
      </c>
      <c r="O169" s="4">
        <f t="shared" si="15"/>
        <v>403000</v>
      </c>
      <c r="P169" s="4">
        <f t="shared" si="16"/>
        <v>178188.82</v>
      </c>
      <c r="Q169" t="str">
        <f>IF(M169&lt;=0,"Cobrada",IF(L169&gt;0,"Parcial",IF(C169&lt;Resumen!$B$3,"Vencida",IF(C169&lt;=Resumen!$B$3+15,"Por vencer","Pendiente"))))</f>
        <v>Parcial</v>
      </c>
      <c r="R169" s="5">
        <f>IF(M169&lt;=0,MAX(0,D169-C169),MAX(0,Resumen!$B$3-C169))</f>
        <v>70</v>
      </c>
      <c r="S169" t="str">
        <f>IF(M169&lt;=0,"Sin prioridad",IF(R169&gt;60,"Alta",IF(R169&gt;30,"Media",IF(C169&lt;=Resumen!$B$3+15,"Media","Baja"))))</f>
        <v>Alta</v>
      </c>
      <c r="T169" t="s">
        <v>63</v>
      </c>
      <c r="U169" t="s">
        <v>105</v>
      </c>
      <c r="W169" s="3">
        <f t="shared" si="17"/>
        <v>46082</v>
      </c>
      <c r="X169" s="3">
        <f t="shared" si="18"/>
        <v>46113</v>
      </c>
      <c r="Y169" t="s">
        <v>237</v>
      </c>
      <c r="Z169" t="str">
        <f>IF(AND(M169&gt;0,C169&lt;Resumen!$B$3),"Sí","No")</f>
        <v>Sí</v>
      </c>
      <c r="AA169" t="str">
        <f t="shared" si="19"/>
        <v>Sí</v>
      </c>
      <c r="AB169" t="str">
        <f t="shared" si="20"/>
        <v>No</v>
      </c>
    </row>
    <row r="170" spans="1:28">
      <c r="A170" t="s">
        <v>294</v>
      </c>
      <c r="B170" s="3">
        <v>46104</v>
      </c>
      <c r="C170" s="3">
        <v>46134</v>
      </c>
      <c r="D170" s="3">
        <v>46135</v>
      </c>
      <c r="E170" t="s">
        <v>100</v>
      </c>
      <c r="F170" t="s">
        <v>101</v>
      </c>
      <c r="G170" t="s">
        <v>59</v>
      </c>
      <c r="H170" t="s">
        <v>113</v>
      </c>
      <c r="I170" t="s">
        <v>114</v>
      </c>
      <c r="J170" t="s">
        <v>62</v>
      </c>
      <c r="K170" s="4">
        <v>2400</v>
      </c>
      <c r="L170" s="4">
        <v>2400</v>
      </c>
      <c r="M170" s="4">
        <f t="shared" si="14"/>
        <v>0</v>
      </c>
      <c r="N170" s="4">
        <v>1554</v>
      </c>
      <c r="O170" s="4">
        <f t="shared" si="15"/>
        <v>3729600</v>
      </c>
      <c r="P170" s="4">
        <f t="shared" si="16"/>
        <v>0</v>
      </c>
      <c r="Q170" t="str">
        <f>IF(M170&lt;=0,"Cobrada",IF(L170&gt;0,"Parcial",IF(C170&lt;Resumen!$B$3,"Vencida",IF(C170&lt;=Resumen!$B$3+15,"Por vencer","Pendiente"))))</f>
        <v>Cobrada</v>
      </c>
      <c r="R170" s="5">
        <f>IF(M170&lt;=0,MAX(0,D170-C170),MAX(0,Resumen!$B$3-C170))</f>
        <v>1</v>
      </c>
      <c r="S170" t="str">
        <f>IF(M170&lt;=0,"Sin prioridad",IF(R170&gt;60,"Alta",IF(R170&gt;30,"Media",IF(C170&lt;=Resumen!$B$3+15,"Media","Baja"))))</f>
        <v>Sin prioridad</v>
      </c>
      <c r="T170" t="s">
        <v>87</v>
      </c>
      <c r="U170" t="s">
        <v>64</v>
      </c>
      <c r="W170" s="3">
        <f t="shared" si="17"/>
        <v>46082</v>
      </c>
      <c r="X170" s="3">
        <f t="shared" si="18"/>
        <v>46113</v>
      </c>
      <c r="Y170" t="s">
        <v>237</v>
      </c>
      <c r="Z170" t="str">
        <f>IF(AND(M170&gt;0,C170&lt;Resumen!$B$3),"Sí","No")</f>
        <v>No</v>
      </c>
      <c r="AA170" t="str">
        <f t="shared" si="19"/>
        <v>No</v>
      </c>
      <c r="AB170" t="str">
        <f t="shared" si="20"/>
        <v>Sí</v>
      </c>
    </row>
    <row r="171" spans="1:28">
      <c r="A171" t="s">
        <v>295</v>
      </c>
      <c r="B171" s="3">
        <v>46098</v>
      </c>
      <c r="C171" s="3">
        <v>46113</v>
      </c>
      <c r="D171" s="3">
        <v>46157</v>
      </c>
      <c r="E171" t="s">
        <v>171</v>
      </c>
      <c r="F171" t="s">
        <v>21</v>
      </c>
      <c r="G171" t="s">
        <v>59</v>
      </c>
      <c r="H171" t="s">
        <v>113</v>
      </c>
      <c r="I171" t="s">
        <v>114</v>
      </c>
      <c r="J171" t="s">
        <v>72</v>
      </c>
      <c r="K171" s="4">
        <v>1799000</v>
      </c>
      <c r="L171" s="4">
        <v>564209.37</v>
      </c>
      <c r="M171" s="4">
        <f t="shared" si="14"/>
        <v>1234790.6299999999</v>
      </c>
      <c r="N171" s="4">
        <v>1554</v>
      </c>
      <c r="O171" s="4">
        <f t="shared" si="15"/>
        <v>1799000</v>
      </c>
      <c r="P171" s="4">
        <f t="shared" si="16"/>
        <v>1234790.6299999999</v>
      </c>
      <c r="Q171" t="str">
        <f>IF(M171&lt;=0,"Cobrada",IF(L171&gt;0,"Parcial",IF(C171&lt;Resumen!$B$3,"Vencida",IF(C171&lt;=Resumen!$B$3+15,"Por vencer","Pendiente"))))</f>
        <v>Parcial</v>
      </c>
      <c r="R171" s="5">
        <f>IF(M171&lt;=0,MAX(0,D171-C171),MAX(0,Resumen!$B$3-C171))</f>
        <v>91</v>
      </c>
      <c r="S171" t="str">
        <f>IF(M171&lt;=0,"Sin prioridad",IF(R171&gt;60,"Alta",IF(R171&gt;30,"Media",IF(C171&lt;=Resumen!$B$3+15,"Media","Baja"))))</f>
        <v>Alta</v>
      </c>
      <c r="T171" t="s">
        <v>87</v>
      </c>
      <c r="U171" t="s">
        <v>105</v>
      </c>
      <c r="V171" t="s">
        <v>78</v>
      </c>
      <c r="W171" s="3">
        <f t="shared" si="17"/>
        <v>46082</v>
      </c>
      <c r="X171" s="3">
        <f t="shared" si="18"/>
        <v>46113</v>
      </c>
      <c r="Y171" t="s">
        <v>237</v>
      </c>
      <c r="Z171" t="str">
        <f>IF(AND(M171&gt;0,C171&lt;Resumen!$B$3),"Sí","No")</f>
        <v>Sí</v>
      </c>
      <c r="AA171" t="str">
        <f t="shared" si="19"/>
        <v>Sí</v>
      </c>
      <c r="AB171" t="str">
        <f t="shared" si="20"/>
        <v>No</v>
      </c>
    </row>
    <row r="172" spans="1:28">
      <c r="A172" t="s">
        <v>296</v>
      </c>
      <c r="B172" s="3">
        <v>46098</v>
      </c>
      <c r="C172" s="3">
        <v>46128</v>
      </c>
      <c r="D172" s="3">
        <v>46145</v>
      </c>
      <c r="E172" t="s">
        <v>132</v>
      </c>
      <c r="F172" t="s">
        <v>133</v>
      </c>
      <c r="G172" t="s">
        <v>59</v>
      </c>
      <c r="H172" t="s">
        <v>140</v>
      </c>
      <c r="I172" t="s">
        <v>141</v>
      </c>
      <c r="J172" t="s">
        <v>62</v>
      </c>
      <c r="K172" s="4">
        <v>600</v>
      </c>
      <c r="L172" s="4">
        <v>600</v>
      </c>
      <c r="M172" s="4">
        <f t="shared" si="14"/>
        <v>0</v>
      </c>
      <c r="N172" s="4">
        <v>1554</v>
      </c>
      <c r="O172" s="4">
        <f t="shared" si="15"/>
        <v>932400</v>
      </c>
      <c r="P172" s="4">
        <f t="shared" si="16"/>
        <v>0</v>
      </c>
      <c r="Q172" t="str">
        <f>IF(M172&lt;=0,"Cobrada",IF(L172&gt;0,"Parcial",IF(C172&lt;Resumen!$B$3,"Vencida",IF(C172&lt;=Resumen!$B$3+15,"Por vencer","Pendiente"))))</f>
        <v>Cobrada</v>
      </c>
      <c r="R172" s="5">
        <f>IF(M172&lt;=0,MAX(0,D172-C172),MAX(0,Resumen!$B$3-C172))</f>
        <v>17</v>
      </c>
      <c r="S172" t="str">
        <f>IF(M172&lt;=0,"Sin prioridad",IF(R172&gt;60,"Alta",IF(R172&gt;30,"Media",IF(C172&lt;=Resumen!$B$3+15,"Media","Baja"))))</f>
        <v>Sin prioridad</v>
      </c>
      <c r="T172" t="s">
        <v>73</v>
      </c>
      <c r="U172" t="s">
        <v>64</v>
      </c>
      <c r="V172" t="s">
        <v>74</v>
      </c>
      <c r="W172" s="3">
        <f t="shared" si="17"/>
        <v>46082</v>
      </c>
      <c r="X172" s="3">
        <f t="shared" si="18"/>
        <v>46113</v>
      </c>
      <c r="Y172" t="s">
        <v>237</v>
      </c>
      <c r="Z172" t="str">
        <f>IF(AND(M172&gt;0,C172&lt;Resumen!$B$3),"Sí","No")</f>
        <v>No</v>
      </c>
      <c r="AA172" t="str">
        <f t="shared" si="19"/>
        <v>No</v>
      </c>
      <c r="AB172" t="str">
        <f t="shared" si="20"/>
        <v>Sí</v>
      </c>
    </row>
    <row r="173" spans="1:28">
      <c r="A173" t="s">
        <v>297</v>
      </c>
      <c r="B173" s="3">
        <v>46127</v>
      </c>
      <c r="C173" s="3">
        <v>46157</v>
      </c>
      <c r="D173" s="3">
        <v>46159</v>
      </c>
      <c r="E173" t="s">
        <v>206</v>
      </c>
      <c r="F173" t="s">
        <v>207</v>
      </c>
      <c r="G173" t="s">
        <v>59</v>
      </c>
      <c r="H173" t="s">
        <v>110</v>
      </c>
      <c r="I173" t="s">
        <v>111</v>
      </c>
      <c r="J173" t="s">
        <v>72</v>
      </c>
      <c r="K173" s="4">
        <v>1160000</v>
      </c>
      <c r="L173" s="4">
        <v>1160000</v>
      </c>
      <c r="M173" s="4">
        <f t="shared" si="14"/>
        <v>0</v>
      </c>
      <c r="N173" s="4">
        <v>1600</v>
      </c>
      <c r="O173" s="4">
        <f t="shared" si="15"/>
        <v>1160000</v>
      </c>
      <c r="P173" s="4">
        <f t="shared" si="16"/>
        <v>0</v>
      </c>
      <c r="Q173" t="str">
        <f>IF(M173&lt;=0,"Cobrada",IF(L173&gt;0,"Parcial",IF(C173&lt;Resumen!$B$3,"Vencida",IF(C173&lt;=Resumen!$B$3+15,"Por vencer","Pendiente"))))</f>
        <v>Cobrada</v>
      </c>
      <c r="R173" s="5">
        <f>IF(M173&lt;=0,MAX(0,D173-C173),MAX(0,Resumen!$B$3-C173))</f>
        <v>2</v>
      </c>
      <c r="S173" t="str">
        <f>IF(M173&lt;=0,"Sin prioridad",IF(R173&gt;60,"Alta",IF(R173&gt;30,"Media",IF(C173&lt;=Resumen!$B$3+15,"Media","Baja"))))</f>
        <v>Sin prioridad</v>
      </c>
      <c r="T173" t="s">
        <v>83</v>
      </c>
      <c r="U173" t="s">
        <v>64</v>
      </c>
      <c r="W173" s="3">
        <f t="shared" si="17"/>
        <v>46113</v>
      </c>
      <c r="X173" s="3">
        <f t="shared" si="18"/>
        <v>46143</v>
      </c>
      <c r="Y173" t="s">
        <v>298</v>
      </c>
      <c r="Z173" t="str">
        <f>IF(AND(M173&gt;0,C173&lt;Resumen!$B$3),"Sí","No")</f>
        <v>No</v>
      </c>
      <c r="AA173" t="str">
        <f t="shared" si="19"/>
        <v>No</v>
      </c>
      <c r="AB173" t="str">
        <f t="shared" si="20"/>
        <v>No</v>
      </c>
    </row>
    <row r="174" spans="1:28">
      <c r="A174" t="s">
        <v>299</v>
      </c>
      <c r="B174" s="3">
        <v>46132</v>
      </c>
      <c r="C174" s="3">
        <v>46147</v>
      </c>
      <c r="D174" s="3">
        <v>46157</v>
      </c>
      <c r="E174" t="s">
        <v>108</v>
      </c>
      <c r="F174" t="s">
        <v>109</v>
      </c>
      <c r="G174" t="s">
        <v>59</v>
      </c>
      <c r="H174" t="s">
        <v>140</v>
      </c>
      <c r="I174" t="s">
        <v>141</v>
      </c>
      <c r="J174" t="s">
        <v>62</v>
      </c>
      <c r="K174" s="4">
        <v>1300</v>
      </c>
      <c r="L174" s="4">
        <v>1300</v>
      </c>
      <c r="M174" s="4">
        <f t="shared" si="14"/>
        <v>0</v>
      </c>
      <c r="N174" s="4">
        <v>1600</v>
      </c>
      <c r="O174" s="4">
        <f t="shared" si="15"/>
        <v>2080000</v>
      </c>
      <c r="P174" s="4">
        <f t="shared" si="16"/>
        <v>0</v>
      </c>
      <c r="Q174" t="str">
        <f>IF(M174&lt;=0,"Cobrada",IF(L174&gt;0,"Parcial",IF(C174&lt;Resumen!$B$3,"Vencida",IF(C174&lt;=Resumen!$B$3+15,"Por vencer","Pendiente"))))</f>
        <v>Cobrada</v>
      </c>
      <c r="R174" s="5">
        <f>IF(M174&lt;=0,MAX(0,D174-C174),MAX(0,Resumen!$B$3-C174))</f>
        <v>10</v>
      </c>
      <c r="S174" t="str">
        <f>IF(M174&lt;=0,"Sin prioridad",IF(R174&gt;60,"Alta",IF(R174&gt;30,"Media",IF(C174&lt;=Resumen!$B$3+15,"Media","Baja"))))</f>
        <v>Sin prioridad</v>
      </c>
      <c r="T174" t="s">
        <v>63</v>
      </c>
      <c r="U174" t="s">
        <v>64</v>
      </c>
      <c r="V174" t="s">
        <v>106</v>
      </c>
      <c r="W174" s="3">
        <f t="shared" si="17"/>
        <v>46113</v>
      </c>
      <c r="X174" s="3">
        <f t="shared" si="18"/>
        <v>46143</v>
      </c>
      <c r="Y174" t="s">
        <v>298</v>
      </c>
      <c r="Z174" t="str">
        <f>IF(AND(M174&gt;0,C174&lt;Resumen!$B$3),"Sí","No")</f>
        <v>No</v>
      </c>
      <c r="AA174" t="str">
        <f t="shared" si="19"/>
        <v>No</v>
      </c>
      <c r="AB174" t="str">
        <f t="shared" si="20"/>
        <v>Sí</v>
      </c>
    </row>
    <row r="175" spans="1:28">
      <c r="A175" t="s">
        <v>300</v>
      </c>
      <c r="B175" s="3">
        <v>46116</v>
      </c>
      <c r="C175" s="3">
        <v>46161</v>
      </c>
      <c r="D175" s="3">
        <v>46175</v>
      </c>
      <c r="E175" t="s">
        <v>82</v>
      </c>
      <c r="F175" t="s">
        <v>15</v>
      </c>
      <c r="G175" t="s">
        <v>59</v>
      </c>
      <c r="H175" t="s">
        <v>140</v>
      </c>
      <c r="I175" t="s">
        <v>141</v>
      </c>
      <c r="J175" t="s">
        <v>72</v>
      </c>
      <c r="K175" s="4">
        <v>482000</v>
      </c>
      <c r="L175" s="4">
        <v>358460.6</v>
      </c>
      <c r="M175" s="4">
        <f t="shared" si="14"/>
        <v>123539.40000000002</v>
      </c>
      <c r="N175" s="4">
        <v>1600</v>
      </c>
      <c r="O175" s="4">
        <f t="shared" si="15"/>
        <v>482000</v>
      </c>
      <c r="P175" s="4">
        <f t="shared" si="16"/>
        <v>123539.40000000002</v>
      </c>
      <c r="Q175" t="str">
        <f>IF(M175&lt;=0,"Cobrada",IF(L175&gt;0,"Parcial",IF(C175&lt;Resumen!$B$3,"Vencida",IF(C175&lt;=Resumen!$B$3+15,"Por vencer","Pendiente"))))</f>
        <v>Parcial</v>
      </c>
      <c r="R175" s="5">
        <f>IF(M175&lt;=0,MAX(0,D175-C175),MAX(0,Resumen!$B$3-C175))</f>
        <v>43</v>
      </c>
      <c r="S175" t="str">
        <f>IF(M175&lt;=0,"Sin prioridad",IF(R175&gt;60,"Alta",IF(R175&gt;30,"Media",IF(C175&lt;=Resumen!$B$3+15,"Media","Baja"))))</f>
        <v>Media</v>
      </c>
      <c r="T175" t="s">
        <v>83</v>
      </c>
      <c r="U175" t="s">
        <v>105</v>
      </c>
      <c r="V175" t="s">
        <v>78</v>
      </c>
      <c r="W175" s="3">
        <f t="shared" si="17"/>
        <v>46113</v>
      </c>
      <c r="X175" s="3">
        <f t="shared" si="18"/>
        <v>46143</v>
      </c>
      <c r="Y175" t="s">
        <v>298</v>
      </c>
      <c r="Z175" t="str">
        <f>IF(AND(M175&gt;0,C175&lt;Resumen!$B$3),"Sí","No")</f>
        <v>Sí</v>
      </c>
      <c r="AA175" t="str">
        <f t="shared" si="19"/>
        <v>Sí</v>
      </c>
      <c r="AB175" t="str">
        <f t="shared" si="20"/>
        <v>No</v>
      </c>
    </row>
    <row r="176" spans="1:28">
      <c r="A176" t="s">
        <v>301</v>
      </c>
      <c r="B176" s="3">
        <v>46135</v>
      </c>
      <c r="C176" s="3">
        <v>46180</v>
      </c>
      <c r="D176" s="3">
        <v>46198</v>
      </c>
      <c r="E176" t="s">
        <v>129</v>
      </c>
      <c r="F176" t="s">
        <v>130</v>
      </c>
      <c r="G176" t="s">
        <v>59</v>
      </c>
      <c r="H176" t="s">
        <v>140</v>
      </c>
      <c r="I176" t="s">
        <v>141</v>
      </c>
      <c r="J176" t="s">
        <v>62</v>
      </c>
      <c r="K176" s="4">
        <v>1150</v>
      </c>
      <c r="L176" s="4">
        <v>1150</v>
      </c>
      <c r="M176" s="4">
        <f t="shared" si="14"/>
        <v>0</v>
      </c>
      <c r="N176" s="4">
        <v>1600</v>
      </c>
      <c r="O176" s="4">
        <f t="shared" si="15"/>
        <v>1840000</v>
      </c>
      <c r="P176" s="4">
        <f t="shared" si="16"/>
        <v>0</v>
      </c>
      <c r="Q176" t="str">
        <f>IF(M176&lt;=0,"Cobrada",IF(L176&gt;0,"Parcial",IF(C176&lt;Resumen!$B$3,"Vencida",IF(C176&lt;=Resumen!$B$3+15,"Por vencer","Pendiente"))))</f>
        <v>Cobrada</v>
      </c>
      <c r="R176" s="5">
        <f>IF(M176&lt;=0,MAX(0,D176-C176),MAX(0,Resumen!$B$3-C176))</f>
        <v>18</v>
      </c>
      <c r="S176" t="str">
        <f>IF(M176&lt;=0,"Sin prioridad",IF(R176&gt;60,"Alta",IF(R176&gt;30,"Media",IF(C176&lt;=Resumen!$B$3+15,"Media","Baja"))))</f>
        <v>Sin prioridad</v>
      </c>
      <c r="T176" t="s">
        <v>83</v>
      </c>
      <c r="U176" t="s">
        <v>64</v>
      </c>
      <c r="V176" t="s">
        <v>78</v>
      </c>
      <c r="W176" s="3">
        <f t="shared" si="17"/>
        <v>46113</v>
      </c>
      <c r="X176" s="3">
        <f t="shared" si="18"/>
        <v>46174</v>
      </c>
      <c r="Y176" t="s">
        <v>298</v>
      </c>
      <c r="Z176" t="str">
        <f>IF(AND(M176&gt;0,C176&lt;Resumen!$B$3),"Sí","No")</f>
        <v>No</v>
      </c>
      <c r="AA176" t="str">
        <f t="shared" si="19"/>
        <v>No</v>
      </c>
      <c r="AB176" t="str">
        <f t="shared" si="20"/>
        <v>Sí</v>
      </c>
    </row>
    <row r="177" spans="1:28">
      <c r="A177" t="s">
        <v>302</v>
      </c>
      <c r="B177" s="3">
        <v>46131</v>
      </c>
      <c r="C177" s="3">
        <v>46146</v>
      </c>
      <c r="D177" s="3">
        <v>46142</v>
      </c>
      <c r="E177" t="s">
        <v>165</v>
      </c>
      <c r="F177" t="s">
        <v>166</v>
      </c>
      <c r="G177" t="s">
        <v>59</v>
      </c>
      <c r="H177" t="s">
        <v>110</v>
      </c>
      <c r="I177" t="s">
        <v>111</v>
      </c>
      <c r="J177" t="s">
        <v>72</v>
      </c>
      <c r="K177" s="4">
        <v>373000</v>
      </c>
      <c r="L177" s="4">
        <v>373000</v>
      </c>
      <c r="M177" s="4">
        <f t="shared" si="14"/>
        <v>0</v>
      </c>
      <c r="N177" s="4">
        <v>1600</v>
      </c>
      <c r="O177" s="4">
        <f t="shared" si="15"/>
        <v>373000</v>
      </c>
      <c r="P177" s="4">
        <f t="shared" si="16"/>
        <v>0</v>
      </c>
      <c r="Q177" t="str">
        <f>IF(M177&lt;=0,"Cobrada",IF(L177&gt;0,"Parcial",IF(C177&lt;Resumen!$B$3,"Vencida",IF(C177&lt;=Resumen!$B$3+15,"Por vencer","Pendiente"))))</f>
        <v>Cobrada</v>
      </c>
      <c r="R177" s="5">
        <f>IF(M177&lt;=0,MAX(0,D177-C177),MAX(0,Resumen!$B$3-C177))</f>
        <v>0</v>
      </c>
      <c r="S177" t="str">
        <f>IF(M177&lt;=0,"Sin prioridad",IF(R177&gt;60,"Alta",IF(R177&gt;30,"Media",IF(C177&lt;=Resumen!$B$3+15,"Media","Baja"))))</f>
        <v>Sin prioridad</v>
      </c>
      <c r="T177" t="s">
        <v>87</v>
      </c>
      <c r="U177" t="s">
        <v>64</v>
      </c>
      <c r="V177" t="s">
        <v>74</v>
      </c>
      <c r="W177" s="3">
        <f t="shared" si="17"/>
        <v>46113</v>
      </c>
      <c r="X177" s="3">
        <f t="shared" si="18"/>
        <v>46143</v>
      </c>
      <c r="Y177" t="s">
        <v>298</v>
      </c>
      <c r="Z177" t="str">
        <f>IF(AND(M177&gt;0,C177&lt;Resumen!$B$3),"Sí","No")</f>
        <v>No</v>
      </c>
      <c r="AA177" t="str">
        <f t="shared" si="19"/>
        <v>No</v>
      </c>
      <c r="AB177" t="str">
        <f t="shared" si="20"/>
        <v>No</v>
      </c>
    </row>
    <row r="178" spans="1:28">
      <c r="A178" t="s">
        <v>303</v>
      </c>
      <c r="B178" s="3">
        <v>46113</v>
      </c>
      <c r="C178" s="3">
        <v>46158</v>
      </c>
      <c r="D178" s="3">
        <v>46163</v>
      </c>
      <c r="E178" t="s">
        <v>125</v>
      </c>
      <c r="F178" t="s">
        <v>126</v>
      </c>
      <c r="G178" t="s">
        <v>59</v>
      </c>
      <c r="H178" t="s">
        <v>60</v>
      </c>
      <c r="I178" t="s">
        <v>61</v>
      </c>
      <c r="J178" t="s">
        <v>62</v>
      </c>
      <c r="K178" s="4">
        <v>700</v>
      </c>
      <c r="L178" s="4">
        <v>700</v>
      </c>
      <c r="M178" s="4">
        <f t="shared" si="14"/>
        <v>0</v>
      </c>
      <c r="N178" s="4">
        <v>1600</v>
      </c>
      <c r="O178" s="4">
        <f t="shared" si="15"/>
        <v>1120000</v>
      </c>
      <c r="P178" s="4">
        <f t="shared" si="16"/>
        <v>0</v>
      </c>
      <c r="Q178" t="str">
        <f>IF(M178&lt;=0,"Cobrada",IF(L178&gt;0,"Parcial",IF(C178&lt;Resumen!$B$3,"Vencida",IF(C178&lt;=Resumen!$B$3+15,"Por vencer","Pendiente"))))</f>
        <v>Cobrada</v>
      </c>
      <c r="R178" s="5">
        <f>IF(M178&lt;=0,MAX(0,D178-C178),MAX(0,Resumen!$B$3-C178))</f>
        <v>5</v>
      </c>
      <c r="S178" t="str">
        <f>IF(M178&lt;=0,"Sin prioridad",IF(R178&gt;60,"Alta",IF(R178&gt;30,"Media",IF(C178&lt;=Resumen!$B$3+15,"Media","Baja"))))</f>
        <v>Sin prioridad</v>
      </c>
      <c r="T178" t="s">
        <v>73</v>
      </c>
      <c r="U178" t="s">
        <v>64</v>
      </c>
      <c r="V178" t="s">
        <v>106</v>
      </c>
      <c r="W178" s="3">
        <f t="shared" si="17"/>
        <v>46113</v>
      </c>
      <c r="X178" s="3">
        <f t="shared" si="18"/>
        <v>46143</v>
      </c>
      <c r="Y178" t="s">
        <v>298</v>
      </c>
      <c r="Z178" t="str">
        <f>IF(AND(M178&gt;0,C178&lt;Resumen!$B$3),"Sí","No")</f>
        <v>No</v>
      </c>
      <c r="AA178" t="str">
        <f t="shared" si="19"/>
        <v>No</v>
      </c>
      <c r="AB178" t="str">
        <f t="shared" si="20"/>
        <v>Sí</v>
      </c>
    </row>
    <row r="179" spans="1:28">
      <c r="A179" t="s">
        <v>304</v>
      </c>
      <c r="B179" s="3">
        <v>46115</v>
      </c>
      <c r="C179" s="3">
        <v>46160</v>
      </c>
      <c r="D179" s="3"/>
      <c r="E179" t="s">
        <v>143</v>
      </c>
      <c r="F179" t="s">
        <v>144</v>
      </c>
      <c r="G179" t="s">
        <v>59</v>
      </c>
      <c r="H179" t="s">
        <v>70</v>
      </c>
      <c r="I179" t="s">
        <v>71</v>
      </c>
      <c r="J179" t="s">
        <v>62</v>
      </c>
      <c r="K179" s="4">
        <v>500</v>
      </c>
      <c r="L179" s="4">
        <v>0</v>
      </c>
      <c r="M179" s="4">
        <f t="shared" si="14"/>
        <v>500</v>
      </c>
      <c r="N179" s="4">
        <v>1600</v>
      </c>
      <c r="O179" s="4">
        <f t="shared" si="15"/>
        <v>800000</v>
      </c>
      <c r="P179" s="4">
        <f t="shared" si="16"/>
        <v>800000</v>
      </c>
      <c r="Q179" t="str">
        <f>IF(M179&lt;=0,"Cobrada",IF(L179&gt;0,"Parcial",IF(C179&lt;Resumen!$B$3,"Vencida",IF(C179&lt;=Resumen!$B$3+15,"Por vencer","Pendiente"))))</f>
        <v>Vencida</v>
      </c>
      <c r="R179" s="5">
        <f>IF(M179&lt;=0,MAX(0,D179-C179),MAX(0,Resumen!$B$3-C179))</f>
        <v>44</v>
      </c>
      <c r="S179" t="str">
        <f>IF(M179&lt;=0,"Sin prioridad",IF(R179&gt;60,"Alta",IF(R179&gt;30,"Media",IF(C179&lt;=Resumen!$B$3+15,"Media","Baja"))))</f>
        <v>Media</v>
      </c>
      <c r="T179" t="s">
        <v>87</v>
      </c>
      <c r="U179" t="s">
        <v>95</v>
      </c>
      <c r="V179" t="s">
        <v>80</v>
      </c>
      <c r="W179" s="3">
        <f t="shared" si="17"/>
        <v>46113</v>
      </c>
      <c r="X179" s="3">
        <f t="shared" si="18"/>
        <v>46143</v>
      </c>
      <c r="Y179" t="s">
        <v>298</v>
      </c>
      <c r="Z179" t="str">
        <f>IF(AND(M179&gt;0,C179&lt;Resumen!$B$3),"Sí","No")</f>
        <v>Sí</v>
      </c>
      <c r="AA179" t="str">
        <f t="shared" si="19"/>
        <v>No</v>
      </c>
      <c r="AB179" t="str">
        <f t="shared" si="20"/>
        <v>Sí</v>
      </c>
    </row>
    <row r="180" spans="1:28">
      <c r="A180" t="s">
        <v>305</v>
      </c>
      <c r="B180" s="3">
        <v>46121</v>
      </c>
      <c r="C180" s="3">
        <v>46136</v>
      </c>
      <c r="D180" s="3"/>
      <c r="E180" t="s">
        <v>85</v>
      </c>
      <c r="F180" t="s">
        <v>86</v>
      </c>
      <c r="G180" t="s">
        <v>59</v>
      </c>
      <c r="H180" t="s">
        <v>70</v>
      </c>
      <c r="I180" t="s">
        <v>71</v>
      </c>
      <c r="J180" t="s">
        <v>72</v>
      </c>
      <c r="K180" s="4">
        <v>917000</v>
      </c>
      <c r="L180" s="4">
        <v>0</v>
      </c>
      <c r="M180" s="4">
        <f t="shared" si="14"/>
        <v>917000</v>
      </c>
      <c r="N180" s="4">
        <v>1600</v>
      </c>
      <c r="O180" s="4">
        <f t="shared" si="15"/>
        <v>917000</v>
      </c>
      <c r="P180" s="4">
        <f t="shared" si="16"/>
        <v>917000</v>
      </c>
      <c r="Q180" t="str">
        <f>IF(M180&lt;=0,"Cobrada",IF(L180&gt;0,"Parcial",IF(C180&lt;Resumen!$B$3,"Vencida",IF(C180&lt;=Resumen!$B$3+15,"Por vencer","Pendiente"))))</f>
        <v>Vencida</v>
      </c>
      <c r="R180" s="5">
        <f>IF(M180&lt;=0,MAX(0,D180-C180),MAX(0,Resumen!$B$3-C180))</f>
        <v>68</v>
      </c>
      <c r="S180" t="str">
        <f>IF(M180&lt;=0,"Sin prioridad",IF(R180&gt;60,"Alta",IF(R180&gt;30,"Media",IF(C180&lt;=Resumen!$B$3+15,"Media","Baja"))))</f>
        <v>Alta</v>
      </c>
      <c r="T180" t="s">
        <v>87</v>
      </c>
      <c r="U180" t="s">
        <v>179</v>
      </c>
      <c r="V180" t="s">
        <v>80</v>
      </c>
      <c r="W180" s="3">
        <f t="shared" si="17"/>
        <v>46113</v>
      </c>
      <c r="X180" s="3">
        <f t="shared" si="18"/>
        <v>46113</v>
      </c>
      <c r="Y180" t="s">
        <v>298</v>
      </c>
      <c r="Z180" t="str">
        <f>IF(AND(M180&gt;0,C180&lt;Resumen!$B$3),"Sí","No")</f>
        <v>Sí</v>
      </c>
      <c r="AA180" t="str">
        <f t="shared" si="19"/>
        <v>No</v>
      </c>
      <c r="AB180" t="str">
        <f t="shared" si="20"/>
        <v>No</v>
      </c>
    </row>
    <row r="181" spans="1:28">
      <c r="A181" t="s">
        <v>306</v>
      </c>
      <c r="B181" s="3">
        <v>46127</v>
      </c>
      <c r="C181" s="3">
        <v>46172</v>
      </c>
      <c r="D181" s="3">
        <v>46179</v>
      </c>
      <c r="E181" t="s">
        <v>82</v>
      </c>
      <c r="F181" t="s">
        <v>15</v>
      </c>
      <c r="G181" t="s">
        <v>59</v>
      </c>
      <c r="H181" t="s">
        <v>60</v>
      </c>
      <c r="I181" t="s">
        <v>61</v>
      </c>
      <c r="J181" t="s">
        <v>72</v>
      </c>
      <c r="K181" s="4">
        <v>564000</v>
      </c>
      <c r="L181" s="4">
        <v>564000</v>
      </c>
      <c r="M181" s="4">
        <f t="shared" si="14"/>
        <v>0</v>
      </c>
      <c r="N181" s="4">
        <v>1600</v>
      </c>
      <c r="O181" s="4">
        <f t="shared" si="15"/>
        <v>564000</v>
      </c>
      <c r="P181" s="4">
        <f t="shared" si="16"/>
        <v>0</v>
      </c>
      <c r="Q181" t="str">
        <f>IF(M181&lt;=0,"Cobrada",IF(L181&gt;0,"Parcial",IF(C181&lt;Resumen!$B$3,"Vencida",IF(C181&lt;=Resumen!$B$3+15,"Por vencer","Pendiente"))))</f>
        <v>Cobrada</v>
      </c>
      <c r="R181" s="5">
        <f>IF(M181&lt;=0,MAX(0,D181-C181),MAX(0,Resumen!$B$3-C181))</f>
        <v>7</v>
      </c>
      <c r="S181" t="str">
        <f>IF(M181&lt;=0,"Sin prioridad",IF(R181&gt;60,"Alta",IF(R181&gt;30,"Media",IF(C181&lt;=Resumen!$B$3+15,"Media","Baja"))))</f>
        <v>Sin prioridad</v>
      </c>
      <c r="T181" t="s">
        <v>83</v>
      </c>
      <c r="U181" t="s">
        <v>64</v>
      </c>
      <c r="V181" t="s">
        <v>80</v>
      </c>
      <c r="W181" s="3">
        <f t="shared" si="17"/>
        <v>46113</v>
      </c>
      <c r="X181" s="3">
        <f t="shared" si="18"/>
        <v>46143</v>
      </c>
      <c r="Y181" t="s">
        <v>298</v>
      </c>
      <c r="Z181" t="str">
        <f>IF(AND(M181&gt;0,C181&lt;Resumen!$B$3),"Sí","No")</f>
        <v>No</v>
      </c>
      <c r="AA181" t="str">
        <f t="shared" si="19"/>
        <v>No</v>
      </c>
      <c r="AB181" t="str">
        <f t="shared" si="20"/>
        <v>No</v>
      </c>
    </row>
    <row r="182" spans="1:28">
      <c r="A182" t="s">
        <v>307</v>
      </c>
      <c r="B182" s="3">
        <v>46117</v>
      </c>
      <c r="C182" s="3">
        <v>46147</v>
      </c>
      <c r="D182" s="3">
        <v>46147</v>
      </c>
      <c r="E182" t="s">
        <v>206</v>
      </c>
      <c r="F182" t="s">
        <v>207</v>
      </c>
      <c r="G182" t="s">
        <v>59</v>
      </c>
      <c r="H182" t="s">
        <v>70</v>
      </c>
      <c r="I182" t="s">
        <v>71</v>
      </c>
      <c r="J182" t="s">
        <v>72</v>
      </c>
      <c r="K182" s="4">
        <v>532000</v>
      </c>
      <c r="L182" s="4">
        <v>532000</v>
      </c>
      <c r="M182" s="4">
        <f t="shared" si="14"/>
        <v>0</v>
      </c>
      <c r="N182" s="4">
        <v>1600</v>
      </c>
      <c r="O182" s="4">
        <f t="shared" si="15"/>
        <v>532000</v>
      </c>
      <c r="P182" s="4">
        <f t="shared" si="16"/>
        <v>0</v>
      </c>
      <c r="Q182" t="str">
        <f>IF(M182&lt;=0,"Cobrada",IF(L182&gt;0,"Parcial",IF(C182&lt;Resumen!$B$3,"Vencida",IF(C182&lt;=Resumen!$B$3+15,"Por vencer","Pendiente"))))</f>
        <v>Cobrada</v>
      </c>
      <c r="R182" s="5">
        <f>IF(M182&lt;=0,MAX(0,D182-C182),MAX(0,Resumen!$B$3-C182))</f>
        <v>0</v>
      </c>
      <c r="S182" t="str">
        <f>IF(M182&lt;=0,"Sin prioridad",IF(R182&gt;60,"Alta",IF(R182&gt;30,"Media",IF(C182&lt;=Resumen!$B$3+15,"Media","Baja"))))</f>
        <v>Sin prioridad</v>
      </c>
      <c r="T182" t="s">
        <v>83</v>
      </c>
      <c r="U182" t="s">
        <v>64</v>
      </c>
      <c r="V182" t="s">
        <v>80</v>
      </c>
      <c r="W182" s="3">
        <f t="shared" si="17"/>
        <v>46113</v>
      </c>
      <c r="X182" s="3">
        <f t="shared" si="18"/>
        <v>46143</v>
      </c>
      <c r="Y182" t="s">
        <v>298</v>
      </c>
      <c r="Z182" t="str">
        <f>IF(AND(M182&gt;0,C182&lt;Resumen!$B$3),"Sí","No")</f>
        <v>No</v>
      </c>
      <c r="AA182" t="str">
        <f t="shared" si="19"/>
        <v>No</v>
      </c>
      <c r="AB182" t="str">
        <f t="shared" si="20"/>
        <v>No</v>
      </c>
    </row>
    <row r="183" spans="1:28">
      <c r="A183" t="s">
        <v>308</v>
      </c>
      <c r="B183" s="3">
        <v>46137</v>
      </c>
      <c r="C183" s="3">
        <v>46182</v>
      </c>
      <c r="D183" s="3">
        <v>46191</v>
      </c>
      <c r="E183" t="s">
        <v>178</v>
      </c>
      <c r="F183" t="s">
        <v>23</v>
      </c>
      <c r="G183" t="s">
        <v>59</v>
      </c>
      <c r="H183" t="s">
        <v>60</v>
      </c>
      <c r="I183" t="s">
        <v>61</v>
      </c>
      <c r="J183" t="s">
        <v>72</v>
      </c>
      <c r="K183" s="4">
        <v>318000</v>
      </c>
      <c r="L183" s="4">
        <v>318000</v>
      </c>
      <c r="M183" s="4">
        <f t="shared" si="14"/>
        <v>0</v>
      </c>
      <c r="N183" s="4">
        <v>1600</v>
      </c>
      <c r="O183" s="4">
        <f t="shared" si="15"/>
        <v>318000</v>
      </c>
      <c r="P183" s="4">
        <f t="shared" si="16"/>
        <v>0</v>
      </c>
      <c r="Q183" t="str">
        <f>IF(M183&lt;=0,"Cobrada",IF(L183&gt;0,"Parcial",IF(C183&lt;Resumen!$B$3,"Vencida",IF(C183&lt;=Resumen!$B$3+15,"Por vencer","Pendiente"))))</f>
        <v>Cobrada</v>
      </c>
      <c r="R183" s="5">
        <f>IF(M183&lt;=0,MAX(0,D183-C183),MAX(0,Resumen!$B$3-C183))</f>
        <v>9</v>
      </c>
      <c r="S183" t="str">
        <f>IF(M183&lt;=0,"Sin prioridad",IF(R183&gt;60,"Alta",IF(R183&gt;30,"Media",IF(C183&lt;=Resumen!$B$3+15,"Media","Baja"))))</f>
        <v>Sin prioridad</v>
      </c>
      <c r="T183" t="s">
        <v>87</v>
      </c>
      <c r="U183" t="s">
        <v>64</v>
      </c>
      <c r="V183" t="s">
        <v>78</v>
      </c>
      <c r="W183" s="3">
        <f t="shared" si="17"/>
        <v>46113</v>
      </c>
      <c r="X183" s="3">
        <f t="shared" si="18"/>
        <v>46174</v>
      </c>
      <c r="Y183" t="s">
        <v>298</v>
      </c>
      <c r="Z183" t="str">
        <f>IF(AND(M183&gt;0,C183&lt;Resumen!$B$3),"Sí","No")</f>
        <v>No</v>
      </c>
      <c r="AA183" t="str">
        <f t="shared" si="19"/>
        <v>No</v>
      </c>
      <c r="AB183" t="str">
        <f t="shared" si="20"/>
        <v>No</v>
      </c>
    </row>
    <row r="184" spans="1:28">
      <c r="A184" t="s">
        <v>309</v>
      </c>
      <c r="B184" s="3">
        <v>46123</v>
      </c>
      <c r="C184" s="3">
        <v>46168</v>
      </c>
      <c r="D184" s="3">
        <v>46176</v>
      </c>
      <c r="E184" t="s">
        <v>129</v>
      </c>
      <c r="F184" t="s">
        <v>130</v>
      </c>
      <c r="G184" t="s">
        <v>59</v>
      </c>
      <c r="H184" t="s">
        <v>70</v>
      </c>
      <c r="I184" t="s">
        <v>71</v>
      </c>
      <c r="J184" t="s">
        <v>72</v>
      </c>
      <c r="K184" s="4">
        <v>400000</v>
      </c>
      <c r="L184" s="4">
        <v>400000</v>
      </c>
      <c r="M184" s="4">
        <f t="shared" si="14"/>
        <v>0</v>
      </c>
      <c r="N184" s="4">
        <v>1600</v>
      </c>
      <c r="O184" s="4">
        <f t="shared" si="15"/>
        <v>400000</v>
      </c>
      <c r="P184" s="4">
        <f t="shared" si="16"/>
        <v>0</v>
      </c>
      <c r="Q184" t="str">
        <f>IF(M184&lt;=0,"Cobrada",IF(L184&gt;0,"Parcial",IF(C184&lt;Resumen!$B$3,"Vencida",IF(C184&lt;=Resumen!$B$3+15,"Por vencer","Pendiente"))))</f>
        <v>Cobrada</v>
      </c>
      <c r="R184" s="5">
        <f>IF(M184&lt;=0,MAX(0,D184-C184),MAX(0,Resumen!$B$3-C184))</f>
        <v>8</v>
      </c>
      <c r="S184" t="str">
        <f>IF(M184&lt;=0,"Sin prioridad",IF(R184&gt;60,"Alta",IF(R184&gt;30,"Media",IF(C184&lt;=Resumen!$B$3+15,"Media","Baja"))))</f>
        <v>Sin prioridad</v>
      </c>
      <c r="T184" t="s">
        <v>83</v>
      </c>
      <c r="U184" t="s">
        <v>64</v>
      </c>
      <c r="V184" t="s">
        <v>78</v>
      </c>
      <c r="W184" s="3">
        <f t="shared" si="17"/>
        <v>46113</v>
      </c>
      <c r="X184" s="3">
        <f t="shared" si="18"/>
        <v>46143</v>
      </c>
      <c r="Y184" t="s">
        <v>298</v>
      </c>
      <c r="Z184" t="str">
        <f>IF(AND(M184&gt;0,C184&lt;Resumen!$B$3),"Sí","No")</f>
        <v>No</v>
      </c>
      <c r="AA184" t="str">
        <f t="shared" si="19"/>
        <v>No</v>
      </c>
      <c r="AB184" t="str">
        <f t="shared" si="20"/>
        <v>No</v>
      </c>
    </row>
    <row r="185" spans="1:28">
      <c r="A185" t="s">
        <v>310</v>
      </c>
      <c r="B185" s="3">
        <v>46139</v>
      </c>
      <c r="C185" s="3">
        <v>46154</v>
      </c>
      <c r="D185" s="3"/>
      <c r="E185" t="s">
        <v>58</v>
      </c>
      <c r="F185" t="s">
        <v>10</v>
      </c>
      <c r="G185" t="s">
        <v>59</v>
      </c>
      <c r="H185" t="s">
        <v>113</v>
      </c>
      <c r="I185" t="s">
        <v>114</v>
      </c>
      <c r="J185" t="s">
        <v>62</v>
      </c>
      <c r="K185" s="4">
        <v>2200</v>
      </c>
      <c r="L185" s="4">
        <v>0</v>
      </c>
      <c r="M185" s="4">
        <f t="shared" si="14"/>
        <v>2200</v>
      </c>
      <c r="N185" s="4">
        <v>1600</v>
      </c>
      <c r="O185" s="4">
        <f t="shared" si="15"/>
        <v>3520000</v>
      </c>
      <c r="P185" s="4">
        <f t="shared" si="16"/>
        <v>3520000</v>
      </c>
      <c r="Q185" t="str">
        <f>IF(M185&lt;=0,"Cobrada",IF(L185&gt;0,"Parcial",IF(C185&lt;Resumen!$B$3,"Vencida",IF(C185&lt;=Resumen!$B$3+15,"Por vencer","Pendiente"))))</f>
        <v>Vencida</v>
      </c>
      <c r="R185" s="5">
        <f>IF(M185&lt;=0,MAX(0,D185-C185),MAX(0,Resumen!$B$3-C185))</f>
        <v>50</v>
      </c>
      <c r="S185" t="str">
        <f>IF(M185&lt;=0,"Sin prioridad",IF(R185&gt;60,"Alta",IF(R185&gt;30,"Media",IF(C185&lt;=Resumen!$B$3+15,"Media","Baja"))))</f>
        <v>Media</v>
      </c>
      <c r="T185" t="s">
        <v>63</v>
      </c>
      <c r="U185" t="s">
        <v>95</v>
      </c>
      <c r="V185" t="s">
        <v>80</v>
      </c>
      <c r="W185" s="3">
        <f t="shared" si="17"/>
        <v>46113</v>
      </c>
      <c r="X185" s="3">
        <f t="shared" si="18"/>
        <v>46143</v>
      </c>
      <c r="Y185" t="s">
        <v>298</v>
      </c>
      <c r="Z185" t="str">
        <f>IF(AND(M185&gt;0,C185&lt;Resumen!$B$3),"Sí","No")</f>
        <v>Sí</v>
      </c>
      <c r="AA185" t="str">
        <f t="shared" si="19"/>
        <v>No</v>
      </c>
      <c r="AB185" t="str">
        <f t="shared" si="20"/>
        <v>Sí</v>
      </c>
    </row>
    <row r="186" spans="1:28">
      <c r="A186" t="s">
        <v>311</v>
      </c>
      <c r="B186" s="3">
        <v>46127</v>
      </c>
      <c r="C186" s="3">
        <v>46172</v>
      </c>
      <c r="D186" s="3">
        <v>46177</v>
      </c>
      <c r="E186" t="s">
        <v>82</v>
      </c>
      <c r="F186" t="s">
        <v>15</v>
      </c>
      <c r="G186" t="s">
        <v>59</v>
      </c>
      <c r="H186" t="s">
        <v>113</v>
      </c>
      <c r="I186" t="s">
        <v>114</v>
      </c>
      <c r="J186" t="s">
        <v>62</v>
      </c>
      <c r="K186" s="4">
        <v>1350</v>
      </c>
      <c r="L186" s="4">
        <v>1350</v>
      </c>
      <c r="M186" s="4">
        <f t="shared" si="14"/>
        <v>0</v>
      </c>
      <c r="N186" s="4">
        <v>1600</v>
      </c>
      <c r="O186" s="4">
        <f t="shared" si="15"/>
        <v>2160000</v>
      </c>
      <c r="P186" s="4">
        <f t="shared" si="16"/>
        <v>0</v>
      </c>
      <c r="Q186" t="str">
        <f>IF(M186&lt;=0,"Cobrada",IF(L186&gt;0,"Parcial",IF(C186&lt;Resumen!$B$3,"Vencida",IF(C186&lt;=Resumen!$B$3+15,"Por vencer","Pendiente"))))</f>
        <v>Cobrada</v>
      </c>
      <c r="R186" s="5">
        <f>IF(M186&lt;=0,MAX(0,D186-C186),MAX(0,Resumen!$B$3-C186))</f>
        <v>5</v>
      </c>
      <c r="S186" t="str">
        <f>IF(M186&lt;=0,"Sin prioridad",IF(R186&gt;60,"Alta",IF(R186&gt;30,"Media",IF(C186&lt;=Resumen!$B$3+15,"Media","Baja"))))</f>
        <v>Sin prioridad</v>
      </c>
      <c r="T186" t="s">
        <v>83</v>
      </c>
      <c r="U186" t="s">
        <v>64</v>
      </c>
      <c r="W186" s="3">
        <f t="shared" si="17"/>
        <v>46113</v>
      </c>
      <c r="X186" s="3">
        <f t="shared" si="18"/>
        <v>46143</v>
      </c>
      <c r="Y186" t="s">
        <v>298</v>
      </c>
      <c r="Z186" t="str">
        <f>IF(AND(M186&gt;0,C186&lt;Resumen!$B$3),"Sí","No")</f>
        <v>No</v>
      </c>
      <c r="AA186" t="str">
        <f t="shared" si="19"/>
        <v>No</v>
      </c>
      <c r="AB186" t="str">
        <f t="shared" si="20"/>
        <v>Sí</v>
      </c>
    </row>
    <row r="187" spans="1:28">
      <c r="A187" t="s">
        <v>312</v>
      </c>
      <c r="B187" s="3">
        <v>46131</v>
      </c>
      <c r="C187" s="3">
        <v>46176</v>
      </c>
      <c r="D187" s="3"/>
      <c r="E187" t="s">
        <v>160</v>
      </c>
      <c r="F187" t="s">
        <v>17</v>
      </c>
      <c r="G187" t="s">
        <v>59</v>
      </c>
      <c r="H187" t="s">
        <v>60</v>
      </c>
      <c r="I187" t="s">
        <v>61</v>
      </c>
      <c r="J187" t="s">
        <v>62</v>
      </c>
      <c r="K187" s="4">
        <v>850</v>
      </c>
      <c r="L187" s="4">
        <v>0</v>
      </c>
      <c r="M187" s="4">
        <f t="shared" si="14"/>
        <v>850</v>
      </c>
      <c r="N187" s="4">
        <v>1600</v>
      </c>
      <c r="O187" s="4">
        <f t="shared" si="15"/>
        <v>1360000</v>
      </c>
      <c r="P187" s="4">
        <f t="shared" si="16"/>
        <v>1360000</v>
      </c>
      <c r="Q187" t="str">
        <f>IF(M187&lt;=0,"Cobrada",IF(L187&gt;0,"Parcial",IF(C187&lt;Resumen!$B$3,"Vencida",IF(C187&lt;=Resumen!$B$3+15,"Por vencer","Pendiente"))))</f>
        <v>Vencida</v>
      </c>
      <c r="R187" s="5">
        <f>IF(M187&lt;=0,MAX(0,D187-C187),MAX(0,Resumen!$B$3-C187))</f>
        <v>28</v>
      </c>
      <c r="S187" t="str">
        <f>IF(M187&lt;=0,"Sin prioridad",IF(R187&gt;60,"Alta",IF(R187&gt;30,"Media",IF(C187&lt;=Resumen!$B$3+15,"Media","Baja"))))</f>
        <v>Media</v>
      </c>
      <c r="T187" t="s">
        <v>83</v>
      </c>
      <c r="U187" t="s">
        <v>95</v>
      </c>
      <c r="V187" t="s">
        <v>106</v>
      </c>
      <c r="W187" s="3">
        <f t="shared" si="17"/>
        <v>46113</v>
      </c>
      <c r="X187" s="3">
        <f t="shared" si="18"/>
        <v>46174</v>
      </c>
      <c r="Y187" t="s">
        <v>298</v>
      </c>
      <c r="Z187" t="str">
        <f>IF(AND(M187&gt;0,C187&lt;Resumen!$B$3),"Sí","No")</f>
        <v>Sí</v>
      </c>
      <c r="AA187" t="str">
        <f t="shared" si="19"/>
        <v>No</v>
      </c>
      <c r="AB187" t="str">
        <f t="shared" si="20"/>
        <v>Sí</v>
      </c>
    </row>
    <row r="188" spans="1:28">
      <c r="A188" t="s">
        <v>313</v>
      </c>
      <c r="B188" s="3">
        <v>46129</v>
      </c>
      <c r="C188" s="3">
        <v>46144</v>
      </c>
      <c r="D188" s="3">
        <v>46143</v>
      </c>
      <c r="E188" t="s">
        <v>76</v>
      </c>
      <c r="F188" t="s">
        <v>77</v>
      </c>
      <c r="G188" t="s">
        <v>59</v>
      </c>
      <c r="H188" t="s">
        <v>113</v>
      </c>
      <c r="I188" t="s">
        <v>114</v>
      </c>
      <c r="J188" t="s">
        <v>62</v>
      </c>
      <c r="K188" s="4">
        <v>850</v>
      </c>
      <c r="L188" s="4">
        <v>850</v>
      </c>
      <c r="M188" s="4">
        <f t="shared" si="14"/>
        <v>0</v>
      </c>
      <c r="N188" s="4">
        <v>1600</v>
      </c>
      <c r="O188" s="4">
        <f t="shared" si="15"/>
        <v>1360000</v>
      </c>
      <c r="P188" s="4">
        <f t="shared" si="16"/>
        <v>0</v>
      </c>
      <c r="Q188" t="str">
        <f>IF(M188&lt;=0,"Cobrada",IF(L188&gt;0,"Parcial",IF(C188&lt;Resumen!$B$3,"Vencida",IF(C188&lt;=Resumen!$B$3+15,"Por vencer","Pendiente"))))</f>
        <v>Cobrada</v>
      </c>
      <c r="R188" s="5">
        <f>IF(M188&lt;=0,MAX(0,D188-C188),MAX(0,Resumen!$B$3-C188))</f>
        <v>0</v>
      </c>
      <c r="S188" t="str">
        <f>IF(M188&lt;=0,"Sin prioridad",IF(R188&gt;60,"Alta",IF(R188&gt;30,"Media",IF(C188&lt;=Resumen!$B$3+15,"Media","Baja"))))</f>
        <v>Sin prioridad</v>
      </c>
      <c r="T188" t="s">
        <v>73</v>
      </c>
      <c r="U188" t="s">
        <v>64</v>
      </c>
      <c r="V188" t="s">
        <v>65</v>
      </c>
      <c r="W188" s="3">
        <f t="shared" si="17"/>
        <v>46113</v>
      </c>
      <c r="X188" s="3">
        <f t="shared" si="18"/>
        <v>46143</v>
      </c>
      <c r="Y188" t="s">
        <v>298</v>
      </c>
      <c r="Z188" t="str">
        <f>IF(AND(M188&gt;0,C188&lt;Resumen!$B$3),"Sí","No")</f>
        <v>No</v>
      </c>
      <c r="AA188" t="str">
        <f t="shared" si="19"/>
        <v>No</v>
      </c>
      <c r="AB188" t="str">
        <f t="shared" si="20"/>
        <v>Sí</v>
      </c>
    </row>
    <row r="189" spans="1:28">
      <c r="A189" t="s">
        <v>314</v>
      </c>
      <c r="B189" s="3">
        <v>46115</v>
      </c>
      <c r="C189" s="3">
        <v>46160</v>
      </c>
      <c r="D189" s="3">
        <v>46201</v>
      </c>
      <c r="E189" t="s">
        <v>104</v>
      </c>
      <c r="F189" t="s">
        <v>28</v>
      </c>
      <c r="G189" t="s">
        <v>59</v>
      </c>
      <c r="H189" t="s">
        <v>70</v>
      </c>
      <c r="I189" t="s">
        <v>71</v>
      </c>
      <c r="J189" t="s">
        <v>72</v>
      </c>
      <c r="K189" s="4">
        <v>693000</v>
      </c>
      <c r="L189" s="4">
        <v>221988.07</v>
      </c>
      <c r="M189" s="4">
        <f t="shared" si="14"/>
        <v>471011.93</v>
      </c>
      <c r="N189" s="4">
        <v>1600</v>
      </c>
      <c r="O189" s="4">
        <f t="shared" si="15"/>
        <v>693000</v>
      </c>
      <c r="P189" s="4">
        <f t="shared" si="16"/>
        <v>471011.93</v>
      </c>
      <c r="Q189" t="str">
        <f>IF(M189&lt;=0,"Cobrada",IF(L189&gt;0,"Parcial",IF(C189&lt;Resumen!$B$3,"Vencida",IF(C189&lt;=Resumen!$B$3+15,"Por vencer","Pendiente"))))</f>
        <v>Parcial</v>
      </c>
      <c r="R189" s="5">
        <f>IF(M189&lt;=0,MAX(0,D189-C189),MAX(0,Resumen!$B$3-C189))</f>
        <v>44</v>
      </c>
      <c r="S189" t="str">
        <f>IF(M189&lt;=0,"Sin prioridad",IF(R189&gt;60,"Alta",IF(R189&gt;30,"Media",IF(C189&lt;=Resumen!$B$3+15,"Media","Baja"))))</f>
        <v>Media</v>
      </c>
      <c r="T189" t="s">
        <v>83</v>
      </c>
      <c r="U189" t="s">
        <v>105</v>
      </c>
      <c r="V189" t="s">
        <v>78</v>
      </c>
      <c r="W189" s="3">
        <f t="shared" si="17"/>
        <v>46113</v>
      </c>
      <c r="X189" s="3">
        <f t="shared" si="18"/>
        <v>46143</v>
      </c>
      <c r="Y189" t="s">
        <v>298</v>
      </c>
      <c r="Z189" t="str">
        <f>IF(AND(M189&gt;0,C189&lt;Resumen!$B$3),"Sí","No")</f>
        <v>Sí</v>
      </c>
      <c r="AA189" t="str">
        <f t="shared" si="19"/>
        <v>Sí</v>
      </c>
      <c r="AB189" t="str">
        <f t="shared" si="20"/>
        <v>No</v>
      </c>
    </row>
    <row r="190" spans="1:28">
      <c r="A190" t="s">
        <v>315</v>
      </c>
      <c r="B190" s="3">
        <v>46124</v>
      </c>
      <c r="C190" s="3">
        <v>46169</v>
      </c>
      <c r="D190" s="3">
        <v>46185</v>
      </c>
      <c r="E190" t="s">
        <v>178</v>
      </c>
      <c r="F190" t="s">
        <v>23</v>
      </c>
      <c r="G190" t="s">
        <v>59</v>
      </c>
      <c r="H190" t="s">
        <v>60</v>
      </c>
      <c r="I190" t="s">
        <v>61</v>
      </c>
      <c r="J190" t="s">
        <v>72</v>
      </c>
      <c r="K190" s="4">
        <v>496000</v>
      </c>
      <c r="L190" s="4">
        <v>496000</v>
      </c>
      <c r="M190" s="4">
        <f t="shared" si="14"/>
        <v>0</v>
      </c>
      <c r="N190" s="4">
        <v>1600</v>
      </c>
      <c r="O190" s="4">
        <f t="shared" si="15"/>
        <v>496000</v>
      </c>
      <c r="P190" s="4">
        <f t="shared" si="16"/>
        <v>0</v>
      </c>
      <c r="Q190" t="str">
        <f>IF(M190&lt;=0,"Cobrada",IF(L190&gt;0,"Parcial",IF(C190&lt;Resumen!$B$3,"Vencida",IF(C190&lt;=Resumen!$B$3+15,"Por vencer","Pendiente"))))</f>
        <v>Cobrada</v>
      </c>
      <c r="R190" s="5">
        <f>IF(M190&lt;=0,MAX(0,D190-C190),MAX(0,Resumen!$B$3-C190))</f>
        <v>16</v>
      </c>
      <c r="S190" t="str">
        <f>IF(M190&lt;=0,"Sin prioridad",IF(R190&gt;60,"Alta",IF(R190&gt;30,"Media",IF(C190&lt;=Resumen!$B$3+15,"Media","Baja"))))</f>
        <v>Sin prioridad</v>
      </c>
      <c r="T190" t="s">
        <v>87</v>
      </c>
      <c r="U190" t="s">
        <v>64</v>
      </c>
      <c r="V190" t="s">
        <v>65</v>
      </c>
      <c r="W190" s="3">
        <f t="shared" si="17"/>
        <v>46113</v>
      </c>
      <c r="X190" s="3">
        <f t="shared" si="18"/>
        <v>46143</v>
      </c>
      <c r="Y190" t="s">
        <v>298</v>
      </c>
      <c r="Z190" t="str">
        <f>IF(AND(M190&gt;0,C190&lt;Resumen!$B$3),"Sí","No")</f>
        <v>No</v>
      </c>
      <c r="AA190" t="str">
        <f t="shared" si="19"/>
        <v>No</v>
      </c>
      <c r="AB190" t="str">
        <f t="shared" si="20"/>
        <v>No</v>
      </c>
    </row>
    <row r="191" spans="1:28">
      <c r="A191" t="s">
        <v>316</v>
      </c>
      <c r="B191" s="3">
        <v>46118</v>
      </c>
      <c r="C191" s="3">
        <v>46178</v>
      </c>
      <c r="D191" s="3"/>
      <c r="E191" t="s">
        <v>93</v>
      </c>
      <c r="F191" t="s">
        <v>19</v>
      </c>
      <c r="G191" t="s">
        <v>59</v>
      </c>
      <c r="H191" t="s">
        <v>70</v>
      </c>
      <c r="I191" t="s">
        <v>71</v>
      </c>
      <c r="J191" t="s">
        <v>72</v>
      </c>
      <c r="K191" s="4">
        <v>366000</v>
      </c>
      <c r="L191" s="4">
        <v>0</v>
      </c>
      <c r="M191" s="4">
        <f t="shared" si="14"/>
        <v>366000</v>
      </c>
      <c r="N191" s="4">
        <v>1600</v>
      </c>
      <c r="O191" s="4">
        <f t="shared" si="15"/>
        <v>366000</v>
      </c>
      <c r="P191" s="4">
        <f t="shared" si="16"/>
        <v>366000</v>
      </c>
      <c r="Q191" t="str">
        <f>IF(M191&lt;=0,"Cobrada",IF(L191&gt;0,"Parcial",IF(C191&lt;Resumen!$B$3,"Vencida",IF(C191&lt;=Resumen!$B$3+15,"Por vencer","Pendiente"))))</f>
        <v>Vencida</v>
      </c>
      <c r="R191" s="5">
        <f>IF(M191&lt;=0,MAX(0,D191-C191),MAX(0,Resumen!$B$3-C191))</f>
        <v>26</v>
      </c>
      <c r="S191" t="str">
        <f>IF(M191&lt;=0,"Sin prioridad",IF(R191&gt;60,"Alta",IF(R191&gt;30,"Media",IF(C191&lt;=Resumen!$B$3+15,"Media","Baja"))))</f>
        <v>Media</v>
      </c>
      <c r="T191" t="s">
        <v>87</v>
      </c>
      <c r="U191" t="s">
        <v>95</v>
      </c>
      <c r="V191" t="s">
        <v>106</v>
      </c>
      <c r="W191" s="3">
        <f t="shared" si="17"/>
        <v>46113</v>
      </c>
      <c r="X191" s="3">
        <f t="shared" si="18"/>
        <v>46174</v>
      </c>
      <c r="Y191" t="s">
        <v>298</v>
      </c>
      <c r="Z191" t="str">
        <f>IF(AND(M191&gt;0,C191&lt;Resumen!$B$3),"Sí","No")</f>
        <v>Sí</v>
      </c>
      <c r="AA191" t="str">
        <f t="shared" si="19"/>
        <v>No</v>
      </c>
      <c r="AB191" t="str">
        <f t="shared" si="20"/>
        <v>No</v>
      </c>
    </row>
    <row r="192" spans="1:28">
      <c r="A192" t="s">
        <v>317</v>
      </c>
      <c r="B192" s="3">
        <v>46117</v>
      </c>
      <c r="C192" s="3">
        <v>46147</v>
      </c>
      <c r="D192" s="3">
        <v>46164</v>
      </c>
      <c r="E192" t="s">
        <v>132</v>
      </c>
      <c r="F192" t="s">
        <v>133</v>
      </c>
      <c r="G192" t="s">
        <v>59</v>
      </c>
      <c r="H192" t="s">
        <v>70</v>
      </c>
      <c r="I192" t="s">
        <v>71</v>
      </c>
      <c r="J192" t="s">
        <v>72</v>
      </c>
      <c r="K192" s="4">
        <v>562000</v>
      </c>
      <c r="L192" s="4">
        <v>562000</v>
      </c>
      <c r="M192" s="4">
        <f t="shared" si="14"/>
        <v>0</v>
      </c>
      <c r="N192" s="4">
        <v>1600</v>
      </c>
      <c r="O192" s="4">
        <f t="shared" si="15"/>
        <v>562000</v>
      </c>
      <c r="P192" s="4">
        <f t="shared" si="16"/>
        <v>0</v>
      </c>
      <c r="Q192" t="str">
        <f>IF(M192&lt;=0,"Cobrada",IF(L192&gt;0,"Parcial",IF(C192&lt;Resumen!$B$3,"Vencida",IF(C192&lt;=Resumen!$B$3+15,"Por vencer","Pendiente"))))</f>
        <v>Cobrada</v>
      </c>
      <c r="R192" s="5">
        <f>IF(M192&lt;=0,MAX(0,D192-C192),MAX(0,Resumen!$B$3-C192))</f>
        <v>17</v>
      </c>
      <c r="S192" t="str">
        <f>IF(M192&lt;=0,"Sin prioridad",IF(R192&gt;60,"Alta",IF(R192&gt;30,"Media",IF(C192&lt;=Resumen!$B$3+15,"Media","Baja"))))</f>
        <v>Sin prioridad</v>
      </c>
      <c r="T192" t="s">
        <v>73</v>
      </c>
      <c r="U192" t="s">
        <v>64</v>
      </c>
      <c r="V192" t="s">
        <v>65</v>
      </c>
      <c r="W192" s="3">
        <f t="shared" si="17"/>
        <v>46113</v>
      </c>
      <c r="X192" s="3">
        <f t="shared" si="18"/>
        <v>46143</v>
      </c>
      <c r="Y192" t="s">
        <v>298</v>
      </c>
      <c r="Z192" t="str">
        <f>IF(AND(M192&gt;0,C192&lt;Resumen!$B$3),"Sí","No")</f>
        <v>No</v>
      </c>
      <c r="AA192" t="str">
        <f t="shared" si="19"/>
        <v>No</v>
      </c>
      <c r="AB192" t="str">
        <f t="shared" si="20"/>
        <v>No</v>
      </c>
    </row>
    <row r="193" spans="1:28">
      <c r="A193" t="s">
        <v>318</v>
      </c>
      <c r="B193" s="3">
        <v>46158</v>
      </c>
      <c r="C193" s="3">
        <v>46173</v>
      </c>
      <c r="D193" s="3">
        <v>46188</v>
      </c>
      <c r="E193" t="s">
        <v>68</v>
      </c>
      <c r="F193" t="s">
        <v>69</v>
      </c>
      <c r="G193" t="s">
        <v>59</v>
      </c>
      <c r="H193" t="s">
        <v>70</v>
      </c>
      <c r="I193" t="s">
        <v>71</v>
      </c>
      <c r="J193" t="s">
        <v>62</v>
      </c>
      <c r="K193" s="4">
        <v>300</v>
      </c>
      <c r="L193" s="4">
        <v>300</v>
      </c>
      <c r="M193" s="4">
        <f t="shared" si="14"/>
        <v>0</v>
      </c>
      <c r="N193" s="4">
        <v>1653</v>
      </c>
      <c r="O193" s="4">
        <f t="shared" si="15"/>
        <v>495900</v>
      </c>
      <c r="P193" s="4">
        <f t="shared" si="16"/>
        <v>0</v>
      </c>
      <c r="Q193" t="str">
        <f>IF(M193&lt;=0,"Cobrada",IF(L193&gt;0,"Parcial",IF(C193&lt;Resumen!$B$3,"Vencida",IF(C193&lt;=Resumen!$B$3+15,"Por vencer","Pendiente"))))</f>
        <v>Cobrada</v>
      </c>
      <c r="R193" s="5">
        <f>IF(M193&lt;=0,MAX(0,D193-C193),MAX(0,Resumen!$B$3-C193))</f>
        <v>15</v>
      </c>
      <c r="S193" t="str">
        <f>IF(M193&lt;=0,"Sin prioridad",IF(R193&gt;60,"Alta",IF(R193&gt;30,"Media",IF(C193&lt;=Resumen!$B$3+15,"Media","Baja"))))</f>
        <v>Sin prioridad</v>
      </c>
      <c r="T193" t="s">
        <v>73</v>
      </c>
      <c r="U193" t="s">
        <v>64</v>
      </c>
      <c r="V193" t="s">
        <v>78</v>
      </c>
      <c r="W193" s="3">
        <f t="shared" si="17"/>
        <v>46143</v>
      </c>
      <c r="X193" s="3">
        <f t="shared" si="18"/>
        <v>46143</v>
      </c>
      <c r="Y193" t="s">
        <v>298</v>
      </c>
      <c r="Z193" t="str">
        <f>IF(AND(M193&gt;0,C193&lt;Resumen!$B$3),"Sí","No")</f>
        <v>No</v>
      </c>
      <c r="AA193" t="str">
        <f t="shared" si="19"/>
        <v>No</v>
      </c>
      <c r="AB193" t="str">
        <f t="shared" si="20"/>
        <v>Sí</v>
      </c>
    </row>
    <row r="194" spans="1:28">
      <c r="A194" t="s">
        <v>319</v>
      </c>
      <c r="B194" s="3">
        <v>46153</v>
      </c>
      <c r="C194" s="3">
        <v>46168</v>
      </c>
      <c r="D194" s="3">
        <v>46170</v>
      </c>
      <c r="E194" t="s">
        <v>165</v>
      </c>
      <c r="F194" t="s">
        <v>166</v>
      </c>
      <c r="G194" t="s">
        <v>59</v>
      </c>
      <c r="H194" t="s">
        <v>70</v>
      </c>
      <c r="I194" t="s">
        <v>71</v>
      </c>
      <c r="J194" t="s">
        <v>72</v>
      </c>
      <c r="K194" s="4">
        <v>442000</v>
      </c>
      <c r="L194" s="4">
        <v>442000</v>
      </c>
      <c r="M194" s="4">
        <f t="shared" ref="M194:M237" si="21">K194-L194</f>
        <v>0</v>
      </c>
      <c r="N194" s="4">
        <v>1653</v>
      </c>
      <c r="O194" s="4">
        <f t="shared" ref="O194:O237" si="22">IF(J194="USD",K194*N194,K194)</f>
        <v>442000</v>
      </c>
      <c r="P194" s="4">
        <f t="shared" ref="P194:P237" si="23">IF(J194="USD",M194*N194,M194)</f>
        <v>0</v>
      </c>
      <c r="Q194" t="str">
        <f>IF(M194&lt;=0,"Cobrada",IF(L194&gt;0,"Parcial",IF(C194&lt;Resumen!$B$3,"Vencida",IF(C194&lt;=Resumen!$B$3+15,"Por vencer","Pendiente"))))</f>
        <v>Cobrada</v>
      </c>
      <c r="R194" s="5">
        <f>IF(M194&lt;=0,MAX(0,D194-C194),MAX(0,Resumen!$B$3-C194))</f>
        <v>2</v>
      </c>
      <c r="S194" t="str">
        <f>IF(M194&lt;=0,"Sin prioridad",IF(R194&gt;60,"Alta",IF(R194&gt;30,"Media",IF(C194&lt;=Resumen!$B$3+15,"Media","Baja"))))</f>
        <v>Sin prioridad</v>
      </c>
      <c r="T194" t="s">
        <v>87</v>
      </c>
      <c r="U194" t="s">
        <v>64</v>
      </c>
      <c r="W194" s="3">
        <f t="shared" ref="W194:W237" si="24">DATE(YEAR(B194),MONTH(B194),1)</f>
        <v>46143</v>
      </c>
      <c r="X194" s="3">
        <f t="shared" ref="X194:X237" si="25">DATE(YEAR(C194),MONTH(C194),1)</f>
        <v>46143</v>
      </c>
      <c r="Y194" t="s">
        <v>298</v>
      </c>
      <c r="Z194" t="str">
        <f>IF(AND(M194&gt;0,C194&lt;Resumen!$B$3),"Sí","No")</f>
        <v>No</v>
      </c>
      <c r="AA194" t="str">
        <f t="shared" ref="AA194:AA237" si="26">IF(AND(L194&gt;0,M194&gt;0),"Sí","No")</f>
        <v>No</v>
      </c>
      <c r="AB194" t="str">
        <f t="shared" ref="AB194:AB237" si="27">IF(J194="USD","Sí","No")</f>
        <v>No</v>
      </c>
    </row>
    <row r="195" spans="1:28">
      <c r="A195" t="s">
        <v>320</v>
      </c>
      <c r="B195" s="3">
        <v>46157</v>
      </c>
      <c r="C195" s="3">
        <v>46202</v>
      </c>
      <c r="D195" s="3">
        <v>46202</v>
      </c>
      <c r="E195" t="s">
        <v>160</v>
      </c>
      <c r="F195" t="s">
        <v>17</v>
      </c>
      <c r="G195" t="s">
        <v>59</v>
      </c>
      <c r="H195" t="s">
        <v>70</v>
      </c>
      <c r="I195" t="s">
        <v>71</v>
      </c>
      <c r="J195" t="s">
        <v>72</v>
      </c>
      <c r="K195" s="4">
        <v>787000</v>
      </c>
      <c r="L195" s="4">
        <v>441366.53</v>
      </c>
      <c r="M195" s="4">
        <f t="shared" si="21"/>
        <v>345633.47</v>
      </c>
      <c r="N195" s="4">
        <v>1653</v>
      </c>
      <c r="O195" s="4">
        <f t="shared" si="22"/>
        <v>787000</v>
      </c>
      <c r="P195" s="4">
        <f t="shared" si="23"/>
        <v>345633.47</v>
      </c>
      <c r="Q195" t="str">
        <f>IF(M195&lt;=0,"Cobrada",IF(L195&gt;0,"Parcial",IF(C195&lt;Resumen!$B$3,"Vencida",IF(C195&lt;=Resumen!$B$3+15,"Por vencer","Pendiente"))))</f>
        <v>Parcial</v>
      </c>
      <c r="R195" s="5">
        <f>IF(M195&lt;=0,MAX(0,D195-C195),MAX(0,Resumen!$B$3-C195))</f>
        <v>2</v>
      </c>
      <c r="S195" t="str">
        <f>IF(M195&lt;=0,"Sin prioridad",IF(R195&gt;60,"Alta",IF(R195&gt;30,"Media",IF(C195&lt;=Resumen!$B$3+15,"Media","Baja"))))</f>
        <v>Media</v>
      </c>
      <c r="T195" t="s">
        <v>83</v>
      </c>
      <c r="U195" t="s">
        <v>105</v>
      </c>
      <c r="V195" t="s">
        <v>74</v>
      </c>
      <c r="W195" s="3">
        <f t="shared" si="24"/>
        <v>46143</v>
      </c>
      <c r="X195" s="3">
        <f t="shared" si="25"/>
        <v>46174</v>
      </c>
      <c r="Y195" t="s">
        <v>298</v>
      </c>
      <c r="Z195" t="str">
        <f>IF(AND(M195&gt;0,C195&lt;Resumen!$B$3),"Sí","No")</f>
        <v>Sí</v>
      </c>
      <c r="AA195" t="str">
        <f t="shared" si="26"/>
        <v>Sí</v>
      </c>
      <c r="AB195" t="str">
        <f t="shared" si="27"/>
        <v>No</v>
      </c>
    </row>
    <row r="196" spans="1:28">
      <c r="A196" t="s">
        <v>321</v>
      </c>
      <c r="B196" s="3">
        <v>46168</v>
      </c>
      <c r="C196" s="3">
        <v>46198</v>
      </c>
      <c r="D196" s="3">
        <v>46202</v>
      </c>
      <c r="E196" t="s">
        <v>118</v>
      </c>
      <c r="F196" t="s">
        <v>22</v>
      </c>
      <c r="G196" t="s">
        <v>59</v>
      </c>
      <c r="H196" t="s">
        <v>70</v>
      </c>
      <c r="I196" t="s">
        <v>71</v>
      </c>
      <c r="J196" t="s">
        <v>62</v>
      </c>
      <c r="K196" s="4">
        <v>500</v>
      </c>
      <c r="L196" s="4">
        <v>260.17</v>
      </c>
      <c r="M196" s="4">
        <f t="shared" si="21"/>
        <v>239.82999999999998</v>
      </c>
      <c r="N196" s="4">
        <v>1653</v>
      </c>
      <c r="O196" s="4">
        <f t="shared" si="22"/>
        <v>826500</v>
      </c>
      <c r="P196" s="4">
        <f t="shared" si="23"/>
        <v>396438.99</v>
      </c>
      <c r="Q196" t="str">
        <f>IF(M196&lt;=0,"Cobrada",IF(L196&gt;0,"Parcial",IF(C196&lt;Resumen!$B$3,"Vencida",IF(C196&lt;=Resumen!$B$3+15,"Por vencer","Pendiente"))))</f>
        <v>Parcial</v>
      </c>
      <c r="R196" s="5">
        <f>IF(M196&lt;=0,MAX(0,D196-C196),MAX(0,Resumen!$B$3-C196))</f>
        <v>6</v>
      </c>
      <c r="S196" t="str">
        <f>IF(M196&lt;=0,"Sin prioridad",IF(R196&gt;60,"Alta",IF(R196&gt;30,"Media",IF(C196&lt;=Resumen!$B$3+15,"Media","Baja"))))</f>
        <v>Media</v>
      </c>
      <c r="T196" t="s">
        <v>87</v>
      </c>
      <c r="U196" t="s">
        <v>105</v>
      </c>
      <c r="V196" t="s">
        <v>78</v>
      </c>
      <c r="W196" s="3">
        <f t="shared" si="24"/>
        <v>46143</v>
      </c>
      <c r="X196" s="3">
        <f t="shared" si="25"/>
        <v>46174</v>
      </c>
      <c r="Y196" t="s">
        <v>298</v>
      </c>
      <c r="Z196" t="str">
        <f>IF(AND(M196&gt;0,C196&lt;Resumen!$B$3),"Sí","No")</f>
        <v>Sí</v>
      </c>
      <c r="AA196" t="str">
        <f t="shared" si="26"/>
        <v>Sí</v>
      </c>
      <c r="AB196" t="str">
        <f t="shared" si="27"/>
        <v>Sí</v>
      </c>
    </row>
    <row r="197" spans="1:28">
      <c r="A197" t="s">
        <v>322</v>
      </c>
      <c r="B197" s="3">
        <v>46166</v>
      </c>
      <c r="C197" s="3">
        <v>46181</v>
      </c>
      <c r="D197" s="3"/>
      <c r="E197" t="s">
        <v>185</v>
      </c>
      <c r="F197" t="s">
        <v>186</v>
      </c>
      <c r="G197" t="s">
        <v>59</v>
      </c>
      <c r="H197" t="s">
        <v>70</v>
      </c>
      <c r="I197" t="s">
        <v>71</v>
      </c>
      <c r="J197" t="s">
        <v>72</v>
      </c>
      <c r="K197" s="4">
        <v>433000</v>
      </c>
      <c r="L197" s="4">
        <v>0</v>
      </c>
      <c r="M197" s="4">
        <f t="shared" si="21"/>
        <v>433000</v>
      </c>
      <c r="N197" s="4">
        <v>1653</v>
      </c>
      <c r="O197" s="4">
        <f t="shared" si="22"/>
        <v>433000</v>
      </c>
      <c r="P197" s="4">
        <f t="shared" si="23"/>
        <v>433000</v>
      </c>
      <c r="Q197" t="str">
        <f>IF(M197&lt;=0,"Cobrada",IF(L197&gt;0,"Parcial",IF(C197&lt;Resumen!$B$3,"Vencida",IF(C197&lt;=Resumen!$B$3+15,"Por vencer","Pendiente"))))</f>
        <v>Vencida</v>
      </c>
      <c r="R197" s="5">
        <f>IF(M197&lt;=0,MAX(0,D197-C197),MAX(0,Resumen!$B$3-C197))</f>
        <v>23</v>
      </c>
      <c r="S197" t="str">
        <f>IF(M197&lt;=0,"Sin prioridad",IF(R197&gt;60,"Alta",IF(R197&gt;30,"Media",IF(C197&lt;=Resumen!$B$3+15,"Media","Baja"))))</f>
        <v>Media</v>
      </c>
      <c r="T197" t="s">
        <v>63</v>
      </c>
      <c r="U197" t="s">
        <v>91</v>
      </c>
      <c r="V197" t="s">
        <v>65</v>
      </c>
      <c r="W197" s="3">
        <f t="shared" si="24"/>
        <v>46143</v>
      </c>
      <c r="X197" s="3">
        <f t="shared" si="25"/>
        <v>46174</v>
      </c>
      <c r="Y197" t="s">
        <v>298</v>
      </c>
      <c r="Z197" t="str">
        <f>IF(AND(M197&gt;0,C197&lt;Resumen!$B$3),"Sí","No")</f>
        <v>Sí</v>
      </c>
      <c r="AA197" t="str">
        <f t="shared" si="26"/>
        <v>No</v>
      </c>
      <c r="AB197" t="str">
        <f t="shared" si="27"/>
        <v>No</v>
      </c>
    </row>
    <row r="198" spans="1:28">
      <c r="A198" t="s">
        <v>323</v>
      </c>
      <c r="B198" s="3">
        <v>46162</v>
      </c>
      <c r="C198" s="3">
        <v>46177</v>
      </c>
      <c r="D198" s="3">
        <v>46189</v>
      </c>
      <c r="E198" t="s">
        <v>108</v>
      </c>
      <c r="F198" t="s">
        <v>109</v>
      </c>
      <c r="G198" t="s">
        <v>59</v>
      </c>
      <c r="H198" t="s">
        <v>60</v>
      </c>
      <c r="I198" t="s">
        <v>61</v>
      </c>
      <c r="J198" t="s">
        <v>72</v>
      </c>
      <c r="K198" s="4">
        <v>775000</v>
      </c>
      <c r="L198" s="4">
        <v>775000</v>
      </c>
      <c r="M198" s="4">
        <f t="shared" si="21"/>
        <v>0</v>
      </c>
      <c r="N198" s="4">
        <v>1653</v>
      </c>
      <c r="O198" s="4">
        <f t="shared" si="22"/>
        <v>775000</v>
      </c>
      <c r="P198" s="4">
        <f t="shared" si="23"/>
        <v>0</v>
      </c>
      <c r="Q198" t="str">
        <f>IF(M198&lt;=0,"Cobrada",IF(L198&gt;0,"Parcial",IF(C198&lt;Resumen!$B$3,"Vencida",IF(C198&lt;=Resumen!$B$3+15,"Por vencer","Pendiente"))))</f>
        <v>Cobrada</v>
      </c>
      <c r="R198" s="5">
        <f>IF(M198&lt;=0,MAX(0,D198-C198),MAX(0,Resumen!$B$3-C198))</f>
        <v>12</v>
      </c>
      <c r="S198" t="str">
        <f>IF(M198&lt;=0,"Sin prioridad",IF(R198&gt;60,"Alta",IF(R198&gt;30,"Media",IF(C198&lt;=Resumen!$B$3+15,"Media","Baja"))))</f>
        <v>Sin prioridad</v>
      </c>
      <c r="T198" t="s">
        <v>63</v>
      </c>
      <c r="U198" t="s">
        <v>64</v>
      </c>
      <c r="V198" t="s">
        <v>78</v>
      </c>
      <c r="W198" s="3">
        <f t="shared" si="24"/>
        <v>46143</v>
      </c>
      <c r="X198" s="3">
        <f t="shared" si="25"/>
        <v>46174</v>
      </c>
      <c r="Y198" t="s">
        <v>298</v>
      </c>
      <c r="Z198" t="str">
        <f>IF(AND(M198&gt;0,C198&lt;Resumen!$B$3),"Sí","No")</f>
        <v>No</v>
      </c>
      <c r="AA198" t="str">
        <f t="shared" si="26"/>
        <v>No</v>
      </c>
      <c r="AB198" t="str">
        <f t="shared" si="27"/>
        <v>No</v>
      </c>
    </row>
    <row r="199" spans="1:28">
      <c r="A199" t="s">
        <v>324</v>
      </c>
      <c r="B199" s="3">
        <v>46162</v>
      </c>
      <c r="C199" s="3">
        <v>46207</v>
      </c>
      <c r="D199" s="3"/>
      <c r="E199" t="s">
        <v>82</v>
      </c>
      <c r="F199" t="s">
        <v>15</v>
      </c>
      <c r="G199" t="s">
        <v>59</v>
      </c>
      <c r="H199" t="s">
        <v>113</v>
      </c>
      <c r="I199" t="s">
        <v>114</v>
      </c>
      <c r="J199" t="s">
        <v>72</v>
      </c>
      <c r="K199" s="4">
        <v>1224000</v>
      </c>
      <c r="L199" s="4">
        <v>0</v>
      </c>
      <c r="M199" s="4">
        <f t="shared" si="21"/>
        <v>1224000</v>
      </c>
      <c r="N199" s="4">
        <v>1653</v>
      </c>
      <c r="O199" s="4">
        <f t="shared" si="22"/>
        <v>1224000</v>
      </c>
      <c r="P199" s="4">
        <f t="shared" si="23"/>
        <v>1224000</v>
      </c>
      <c r="Q199" t="str">
        <f>IF(M199&lt;=0,"Cobrada",IF(L199&gt;0,"Parcial",IF(C199&lt;Resumen!$B$3,"Vencida",IF(C199&lt;=Resumen!$B$3+15,"Por vencer","Pendiente"))))</f>
        <v>Por vencer</v>
      </c>
      <c r="R199" s="5">
        <f>IF(M199&lt;=0,MAX(0,D199-C199),MAX(0,Resumen!$B$3-C199))</f>
        <v>0</v>
      </c>
      <c r="S199" t="str">
        <f>IF(M199&lt;=0,"Sin prioridad",IF(R199&gt;60,"Alta",IF(R199&gt;30,"Media",IF(C199&lt;=Resumen!$B$3+15,"Media","Baja"))))</f>
        <v>Media</v>
      </c>
      <c r="T199" t="s">
        <v>83</v>
      </c>
      <c r="U199" t="s">
        <v>325</v>
      </c>
      <c r="W199" s="3">
        <f t="shared" si="24"/>
        <v>46143</v>
      </c>
      <c r="X199" s="3">
        <f t="shared" si="25"/>
        <v>46204</v>
      </c>
      <c r="Y199" t="s">
        <v>298</v>
      </c>
      <c r="Z199" t="str">
        <f>IF(AND(M199&gt;0,C199&lt;Resumen!$B$3),"Sí","No")</f>
        <v>No</v>
      </c>
      <c r="AA199" t="str">
        <f t="shared" si="26"/>
        <v>No</v>
      </c>
      <c r="AB199" t="str">
        <f t="shared" si="27"/>
        <v>No</v>
      </c>
    </row>
    <row r="200" spans="1:28">
      <c r="A200" t="s">
        <v>326</v>
      </c>
      <c r="B200" s="3">
        <v>46143</v>
      </c>
      <c r="C200" s="3">
        <v>46188</v>
      </c>
      <c r="D200" s="3">
        <v>46195</v>
      </c>
      <c r="E200" t="s">
        <v>104</v>
      </c>
      <c r="F200" t="s">
        <v>28</v>
      </c>
      <c r="G200" t="s">
        <v>59</v>
      </c>
      <c r="H200" t="s">
        <v>140</v>
      </c>
      <c r="I200" t="s">
        <v>141</v>
      </c>
      <c r="J200" t="s">
        <v>62</v>
      </c>
      <c r="K200" s="4">
        <v>1500</v>
      </c>
      <c r="L200" s="4">
        <v>733.45</v>
      </c>
      <c r="M200" s="4">
        <f t="shared" si="21"/>
        <v>766.55</v>
      </c>
      <c r="N200" s="4">
        <v>1653</v>
      </c>
      <c r="O200" s="4">
        <f t="shared" si="22"/>
        <v>2479500</v>
      </c>
      <c r="P200" s="4">
        <f t="shared" si="23"/>
        <v>1267107.1499999999</v>
      </c>
      <c r="Q200" t="str">
        <f>IF(M200&lt;=0,"Cobrada",IF(L200&gt;0,"Parcial",IF(C200&lt;Resumen!$B$3,"Vencida",IF(C200&lt;=Resumen!$B$3+15,"Por vencer","Pendiente"))))</f>
        <v>Parcial</v>
      </c>
      <c r="R200" s="5">
        <f>IF(M200&lt;=0,MAX(0,D200-C200),MAX(0,Resumen!$B$3-C200))</f>
        <v>16</v>
      </c>
      <c r="S200" t="str">
        <f>IF(M200&lt;=0,"Sin prioridad",IF(R200&gt;60,"Alta",IF(R200&gt;30,"Media",IF(C200&lt;=Resumen!$B$3+15,"Media","Baja"))))</f>
        <v>Media</v>
      </c>
      <c r="T200" t="s">
        <v>83</v>
      </c>
      <c r="U200" t="s">
        <v>105</v>
      </c>
      <c r="V200" t="s">
        <v>78</v>
      </c>
      <c r="W200" s="3">
        <f t="shared" si="24"/>
        <v>46143</v>
      </c>
      <c r="X200" s="3">
        <f t="shared" si="25"/>
        <v>46174</v>
      </c>
      <c r="Y200" t="s">
        <v>298</v>
      </c>
      <c r="Z200" t="str">
        <f>IF(AND(M200&gt;0,C200&lt;Resumen!$B$3),"Sí","No")</f>
        <v>Sí</v>
      </c>
      <c r="AA200" t="str">
        <f t="shared" si="26"/>
        <v>Sí</v>
      </c>
      <c r="AB200" t="str">
        <f t="shared" si="27"/>
        <v>Sí</v>
      </c>
    </row>
    <row r="201" spans="1:28">
      <c r="A201" t="s">
        <v>327</v>
      </c>
      <c r="B201" s="3">
        <v>46162</v>
      </c>
      <c r="C201" s="3">
        <v>46177</v>
      </c>
      <c r="D201" s="3">
        <v>46189</v>
      </c>
      <c r="E201" t="s">
        <v>85</v>
      </c>
      <c r="F201" t="s">
        <v>86</v>
      </c>
      <c r="G201" t="s">
        <v>59</v>
      </c>
      <c r="H201" t="s">
        <v>110</v>
      </c>
      <c r="I201" t="s">
        <v>111</v>
      </c>
      <c r="J201" t="s">
        <v>72</v>
      </c>
      <c r="K201" s="4">
        <v>556000</v>
      </c>
      <c r="L201" s="4">
        <v>556000</v>
      </c>
      <c r="M201" s="4">
        <f t="shared" si="21"/>
        <v>0</v>
      </c>
      <c r="N201" s="4">
        <v>1653</v>
      </c>
      <c r="O201" s="4">
        <f t="shared" si="22"/>
        <v>556000</v>
      </c>
      <c r="P201" s="4">
        <f t="shared" si="23"/>
        <v>0</v>
      </c>
      <c r="Q201" t="str">
        <f>IF(M201&lt;=0,"Cobrada",IF(L201&gt;0,"Parcial",IF(C201&lt;Resumen!$B$3,"Vencida",IF(C201&lt;=Resumen!$B$3+15,"Por vencer","Pendiente"))))</f>
        <v>Cobrada</v>
      </c>
      <c r="R201" s="5">
        <f>IF(M201&lt;=0,MAX(0,D201-C201),MAX(0,Resumen!$B$3-C201))</f>
        <v>12</v>
      </c>
      <c r="S201" t="str">
        <f>IF(M201&lt;=0,"Sin prioridad",IF(R201&gt;60,"Alta",IF(R201&gt;30,"Media",IF(C201&lt;=Resumen!$B$3+15,"Media","Baja"))))</f>
        <v>Sin prioridad</v>
      </c>
      <c r="T201" t="s">
        <v>87</v>
      </c>
      <c r="U201" t="s">
        <v>64</v>
      </c>
      <c r="V201" t="s">
        <v>78</v>
      </c>
      <c r="W201" s="3">
        <f t="shared" si="24"/>
        <v>46143</v>
      </c>
      <c r="X201" s="3">
        <f t="shared" si="25"/>
        <v>46174</v>
      </c>
      <c r="Y201" t="s">
        <v>298</v>
      </c>
      <c r="Z201" t="str">
        <f>IF(AND(M201&gt;0,C201&lt;Resumen!$B$3),"Sí","No")</f>
        <v>No</v>
      </c>
      <c r="AA201" t="str">
        <f t="shared" si="26"/>
        <v>No</v>
      </c>
      <c r="AB201" t="str">
        <f t="shared" si="27"/>
        <v>No</v>
      </c>
    </row>
    <row r="202" spans="1:28">
      <c r="A202" t="s">
        <v>328</v>
      </c>
      <c r="B202" s="3">
        <v>46145</v>
      </c>
      <c r="C202" s="3">
        <v>46190</v>
      </c>
      <c r="D202" s="3"/>
      <c r="E202" t="s">
        <v>178</v>
      </c>
      <c r="F202" t="s">
        <v>23</v>
      </c>
      <c r="G202" t="s">
        <v>59</v>
      </c>
      <c r="H202" t="s">
        <v>140</v>
      </c>
      <c r="I202" t="s">
        <v>141</v>
      </c>
      <c r="J202" t="s">
        <v>62</v>
      </c>
      <c r="K202" s="4">
        <v>1550</v>
      </c>
      <c r="L202" s="4">
        <v>0</v>
      </c>
      <c r="M202" s="4">
        <f t="shared" si="21"/>
        <v>1550</v>
      </c>
      <c r="N202" s="4">
        <v>1653</v>
      </c>
      <c r="O202" s="4">
        <f t="shared" si="22"/>
        <v>2562150</v>
      </c>
      <c r="P202" s="4">
        <f t="shared" si="23"/>
        <v>2562150</v>
      </c>
      <c r="Q202" t="str">
        <f>IF(M202&lt;=0,"Cobrada",IF(L202&gt;0,"Parcial",IF(C202&lt;Resumen!$B$3,"Vencida",IF(C202&lt;=Resumen!$B$3+15,"Por vencer","Pendiente"))))</f>
        <v>Vencida</v>
      </c>
      <c r="R202" s="5">
        <f>IF(M202&lt;=0,MAX(0,D202-C202),MAX(0,Resumen!$B$3-C202))</f>
        <v>14</v>
      </c>
      <c r="S202" t="str">
        <f>IF(M202&lt;=0,"Sin prioridad",IF(R202&gt;60,"Alta",IF(R202&gt;30,"Media",IF(C202&lt;=Resumen!$B$3+15,"Media","Baja"))))</f>
        <v>Media</v>
      </c>
      <c r="T202" t="s">
        <v>87</v>
      </c>
      <c r="U202" t="s">
        <v>91</v>
      </c>
      <c r="W202" s="3">
        <f t="shared" si="24"/>
        <v>46143</v>
      </c>
      <c r="X202" s="3">
        <f t="shared" si="25"/>
        <v>46174</v>
      </c>
      <c r="Y202" t="s">
        <v>298</v>
      </c>
      <c r="Z202" t="str">
        <f>IF(AND(M202&gt;0,C202&lt;Resumen!$B$3),"Sí","No")</f>
        <v>Sí</v>
      </c>
      <c r="AA202" t="str">
        <f t="shared" si="26"/>
        <v>No</v>
      </c>
      <c r="AB202" t="str">
        <f t="shared" si="27"/>
        <v>Sí</v>
      </c>
    </row>
    <row r="203" spans="1:28">
      <c r="A203" t="s">
        <v>329</v>
      </c>
      <c r="B203" s="3">
        <v>46159</v>
      </c>
      <c r="C203" s="3">
        <v>46174</v>
      </c>
      <c r="D203" s="3">
        <v>46172</v>
      </c>
      <c r="E203" t="s">
        <v>76</v>
      </c>
      <c r="F203" t="s">
        <v>77</v>
      </c>
      <c r="G203" t="s">
        <v>59</v>
      </c>
      <c r="H203" t="s">
        <v>60</v>
      </c>
      <c r="I203" t="s">
        <v>61</v>
      </c>
      <c r="J203" t="s">
        <v>72</v>
      </c>
      <c r="K203" s="4">
        <v>320000</v>
      </c>
      <c r="L203" s="4">
        <v>320000</v>
      </c>
      <c r="M203" s="4">
        <f t="shared" si="21"/>
        <v>0</v>
      </c>
      <c r="N203" s="4">
        <v>1653</v>
      </c>
      <c r="O203" s="4">
        <f t="shared" si="22"/>
        <v>320000</v>
      </c>
      <c r="P203" s="4">
        <f t="shared" si="23"/>
        <v>0</v>
      </c>
      <c r="Q203" t="str">
        <f>IF(M203&lt;=0,"Cobrada",IF(L203&gt;0,"Parcial",IF(C203&lt;Resumen!$B$3,"Vencida",IF(C203&lt;=Resumen!$B$3+15,"Por vencer","Pendiente"))))</f>
        <v>Cobrada</v>
      </c>
      <c r="R203" s="5">
        <f>IF(M203&lt;=0,MAX(0,D203-C203),MAX(0,Resumen!$B$3-C203))</f>
        <v>0</v>
      </c>
      <c r="S203" t="str">
        <f>IF(M203&lt;=0,"Sin prioridad",IF(R203&gt;60,"Alta",IF(R203&gt;30,"Media",IF(C203&lt;=Resumen!$B$3+15,"Media","Baja"))))</f>
        <v>Sin prioridad</v>
      </c>
      <c r="T203" t="s">
        <v>73</v>
      </c>
      <c r="U203" t="s">
        <v>64</v>
      </c>
      <c r="W203" s="3">
        <f t="shared" si="24"/>
        <v>46143</v>
      </c>
      <c r="X203" s="3">
        <f t="shared" si="25"/>
        <v>46174</v>
      </c>
      <c r="Y203" t="s">
        <v>298</v>
      </c>
      <c r="Z203" t="str">
        <f>IF(AND(M203&gt;0,C203&lt;Resumen!$B$3),"Sí","No")</f>
        <v>No</v>
      </c>
      <c r="AA203" t="str">
        <f t="shared" si="26"/>
        <v>No</v>
      </c>
      <c r="AB203" t="str">
        <f t="shared" si="27"/>
        <v>No</v>
      </c>
    </row>
    <row r="204" spans="1:28">
      <c r="A204" t="s">
        <v>330</v>
      </c>
      <c r="B204" s="3">
        <v>46144</v>
      </c>
      <c r="C204" s="3">
        <v>46189</v>
      </c>
      <c r="D204" s="3"/>
      <c r="E204" t="s">
        <v>120</v>
      </c>
      <c r="F204" t="s">
        <v>14</v>
      </c>
      <c r="G204" t="s">
        <v>59</v>
      </c>
      <c r="H204" t="s">
        <v>60</v>
      </c>
      <c r="I204" t="s">
        <v>61</v>
      </c>
      <c r="J204" t="s">
        <v>72</v>
      </c>
      <c r="K204" s="4">
        <v>365000</v>
      </c>
      <c r="L204" s="4">
        <v>0</v>
      </c>
      <c r="M204" s="4">
        <f t="shared" si="21"/>
        <v>365000</v>
      </c>
      <c r="N204" s="4">
        <v>1653</v>
      </c>
      <c r="O204" s="4">
        <f t="shared" si="22"/>
        <v>365000</v>
      </c>
      <c r="P204" s="4">
        <f t="shared" si="23"/>
        <v>365000</v>
      </c>
      <c r="Q204" t="str">
        <f>IF(M204&lt;=0,"Cobrada",IF(L204&gt;0,"Parcial",IF(C204&lt;Resumen!$B$3,"Vencida",IF(C204&lt;=Resumen!$B$3+15,"Por vencer","Pendiente"))))</f>
        <v>Vencida</v>
      </c>
      <c r="R204" s="5">
        <f>IF(M204&lt;=0,MAX(0,D204-C204),MAX(0,Resumen!$B$3-C204))</f>
        <v>15</v>
      </c>
      <c r="S204" t="str">
        <f>IF(M204&lt;=0,"Sin prioridad",IF(R204&gt;60,"Alta",IF(R204&gt;30,"Media",IF(C204&lt;=Resumen!$B$3+15,"Media","Baja"))))</f>
        <v>Media</v>
      </c>
      <c r="T204" t="s">
        <v>63</v>
      </c>
      <c r="U204" t="s">
        <v>88</v>
      </c>
      <c r="W204" s="3">
        <f t="shared" si="24"/>
        <v>46143</v>
      </c>
      <c r="X204" s="3">
        <f t="shared" si="25"/>
        <v>46174</v>
      </c>
      <c r="Y204" t="s">
        <v>298</v>
      </c>
      <c r="Z204" t="str">
        <f>IF(AND(M204&gt;0,C204&lt;Resumen!$B$3),"Sí","No")</f>
        <v>Sí</v>
      </c>
      <c r="AA204" t="str">
        <f t="shared" si="26"/>
        <v>No</v>
      </c>
      <c r="AB204" t="str">
        <f t="shared" si="27"/>
        <v>No</v>
      </c>
    </row>
    <row r="205" spans="1:28">
      <c r="A205" t="s">
        <v>331</v>
      </c>
      <c r="B205" s="3">
        <v>46156</v>
      </c>
      <c r="C205" s="3">
        <v>46171</v>
      </c>
      <c r="D205" s="3">
        <v>46187</v>
      </c>
      <c r="E205" t="s">
        <v>68</v>
      </c>
      <c r="F205" t="s">
        <v>69</v>
      </c>
      <c r="G205" t="s">
        <v>59</v>
      </c>
      <c r="H205" t="s">
        <v>110</v>
      </c>
      <c r="I205" t="s">
        <v>111</v>
      </c>
      <c r="J205" t="s">
        <v>72</v>
      </c>
      <c r="K205" s="4">
        <v>1146000</v>
      </c>
      <c r="L205" s="4">
        <v>1146000</v>
      </c>
      <c r="M205" s="4">
        <f t="shared" si="21"/>
        <v>0</v>
      </c>
      <c r="N205" s="4">
        <v>1653</v>
      </c>
      <c r="O205" s="4">
        <f t="shared" si="22"/>
        <v>1146000</v>
      </c>
      <c r="P205" s="4">
        <f t="shared" si="23"/>
        <v>0</v>
      </c>
      <c r="Q205" t="str">
        <f>IF(M205&lt;=0,"Cobrada",IF(L205&gt;0,"Parcial",IF(C205&lt;Resumen!$B$3,"Vencida",IF(C205&lt;=Resumen!$B$3+15,"Por vencer","Pendiente"))))</f>
        <v>Cobrada</v>
      </c>
      <c r="R205" s="5">
        <f>IF(M205&lt;=0,MAX(0,D205-C205),MAX(0,Resumen!$B$3-C205))</f>
        <v>16</v>
      </c>
      <c r="S205" t="str">
        <f>IF(M205&lt;=0,"Sin prioridad",IF(R205&gt;60,"Alta",IF(R205&gt;30,"Media",IF(C205&lt;=Resumen!$B$3+15,"Media","Baja"))))</f>
        <v>Sin prioridad</v>
      </c>
      <c r="T205" t="s">
        <v>73</v>
      </c>
      <c r="U205" t="s">
        <v>64</v>
      </c>
      <c r="V205" t="s">
        <v>80</v>
      </c>
      <c r="W205" s="3">
        <f t="shared" si="24"/>
        <v>46143</v>
      </c>
      <c r="X205" s="3">
        <f t="shared" si="25"/>
        <v>46143</v>
      </c>
      <c r="Y205" t="s">
        <v>298</v>
      </c>
      <c r="Z205" t="str">
        <f>IF(AND(M205&gt;0,C205&lt;Resumen!$B$3),"Sí","No")</f>
        <v>No</v>
      </c>
      <c r="AA205" t="str">
        <f t="shared" si="26"/>
        <v>No</v>
      </c>
      <c r="AB205" t="str">
        <f t="shared" si="27"/>
        <v>No</v>
      </c>
    </row>
    <row r="206" spans="1:28">
      <c r="A206" t="s">
        <v>332</v>
      </c>
      <c r="B206" s="3">
        <v>46147</v>
      </c>
      <c r="C206" s="3">
        <v>46162</v>
      </c>
      <c r="D206" s="3">
        <v>46196</v>
      </c>
      <c r="E206" t="s">
        <v>68</v>
      </c>
      <c r="F206" t="s">
        <v>69</v>
      </c>
      <c r="G206" t="s">
        <v>59</v>
      </c>
      <c r="H206" t="s">
        <v>70</v>
      </c>
      <c r="I206" t="s">
        <v>71</v>
      </c>
      <c r="J206" t="s">
        <v>62</v>
      </c>
      <c r="K206" s="4">
        <v>300</v>
      </c>
      <c r="L206" s="4">
        <v>112.23</v>
      </c>
      <c r="M206" s="4">
        <f t="shared" si="21"/>
        <v>187.76999999999998</v>
      </c>
      <c r="N206" s="4">
        <v>1653</v>
      </c>
      <c r="O206" s="4">
        <f t="shared" si="22"/>
        <v>495900</v>
      </c>
      <c r="P206" s="4">
        <f t="shared" si="23"/>
        <v>310383.81</v>
      </c>
      <c r="Q206" t="str">
        <f>IF(M206&lt;=0,"Cobrada",IF(L206&gt;0,"Parcial",IF(C206&lt;Resumen!$B$3,"Vencida",IF(C206&lt;=Resumen!$B$3+15,"Por vencer","Pendiente"))))</f>
        <v>Parcial</v>
      </c>
      <c r="R206" s="5">
        <f>IF(M206&lt;=0,MAX(0,D206-C206),MAX(0,Resumen!$B$3-C206))</f>
        <v>42</v>
      </c>
      <c r="S206" t="str">
        <f>IF(M206&lt;=0,"Sin prioridad",IF(R206&gt;60,"Alta",IF(R206&gt;30,"Media",IF(C206&lt;=Resumen!$B$3+15,"Media","Baja"))))</f>
        <v>Media</v>
      </c>
      <c r="T206" t="s">
        <v>73</v>
      </c>
      <c r="U206" t="s">
        <v>105</v>
      </c>
      <c r="V206" t="s">
        <v>74</v>
      </c>
      <c r="W206" s="3">
        <f t="shared" si="24"/>
        <v>46143</v>
      </c>
      <c r="X206" s="3">
        <f t="shared" si="25"/>
        <v>46143</v>
      </c>
      <c r="Y206" t="s">
        <v>298</v>
      </c>
      <c r="Z206" t="str">
        <f>IF(AND(M206&gt;0,C206&lt;Resumen!$B$3),"Sí","No")</f>
        <v>Sí</v>
      </c>
      <c r="AA206" t="str">
        <f t="shared" si="26"/>
        <v>Sí</v>
      </c>
      <c r="AB206" t="str">
        <f t="shared" si="27"/>
        <v>Sí</v>
      </c>
    </row>
    <row r="207" spans="1:28">
      <c r="A207" t="s">
        <v>333</v>
      </c>
      <c r="B207" s="3">
        <v>46159</v>
      </c>
      <c r="C207" s="3">
        <v>46174</v>
      </c>
      <c r="D207" s="3">
        <v>46186</v>
      </c>
      <c r="E207" t="s">
        <v>171</v>
      </c>
      <c r="F207" t="s">
        <v>21</v>
      </c>
      <c r="G207" t="s">
        <v>59</v>
      </c>
      <c r="H207" t="s">
        <v>113</v>
      </c>
      <c r="I207" t="s">
        <v>114</v>
      </c>
      <c r="J207" t="s">
        <v>62</v>
      </c>
      <c r="K207" s="4">
        <v>1300</v>
      </c>
      <c r="L207" s="4">
        <v>336.39</v>
      </c>
      <c r="M207" s="4">
        <f t="shared" si="21"/>
        <v>963.61</v>
      </c>
      <c r="N207" s="4">
        <v>1653</v>
      </c>
      <c r="O207" s="4">
        <f t="shared" si="22"/>
        <v>2148900</v>
      </c>
      <c r="P207" s="4">
        <f t="shared" si="23"/>
        <v>1592847.33</v>
      </c>
      <c r="Q207" t="str">
        <f>IF(M207&lt;=0,"Cobrada",IF(L207&gt;0,"Parcial",IF(C207&lt;Resumen!$B$3,"Vencida",IF(C207&lt;=Resumen!$B$3+15,"Por vencer","Pendiente"))))</f>
        <v>Parcial</v>
      </c>
      <c r="R207" s="5">
        <f>IF(M207&lt;=0,MAX(0,D207-C207),MAX(0,Resumen!$B$3-C207))</f>
        <v>30</v>
      </c>
      <c r="S207" t="str">
        <f>IF(M207&lt;=0,"Sin prioridad",IF(R207&gt;60,"Alta",IF(R207&gt;30,"Media",IF(C207&lt;=Resumen!$B$3+15,"Media","Baja"))))</f>
        <v>Media</v>
      </c>
      <c r="T207" t="s">
        <v>87</v>
      </c>
      <c r="U207" t="s">
        <v>105</v>
      </c>
      <c r="V207" t="s">
        <v>74</v>
      </c>
      <c r="W207" s="3">
        <f t="shared" si="24"/>
        <v>46143</v>
      </c>
      <c r="X207" s="3">
        <f t="shared" si="25"/>
        <v>46174</v>
      </c>
      <c r="Y207" t="s">
        <v>298</v>
      </c>
      <c r="Z207" t="str">
        <f>IF(AND(M207&gt;0,C207&lt;Resumen!$B$3),"Sí","No")</f>
        <v>Sí</v>
      </c>
      <c r="AA207" t="str">
        <f t="shared" si="26"/>
        <v>Sí</v>
      </c>
      <c r="AB207" t="str">
        <f t="shared" si="27"/>
        <v>Sí</v>
      </c>
    </row>
    <row r="208" spans="1:28">
      <c r="A208" t="s">
        <v>334</v>
      </c>
      <c r="B208" s="3">
        <v>46165</v>
      </c>
      <c r="C208" s="3">
        <v>46210</v>
      </c>
      <c r="D208" s="3"/>
      <c r="E208" t="s">
        <v>125</v>
      </c>
      <c r="F208" t="s">
        <v>126</v>
      </c>
      <c r="G208" t="s">
        <v>59</v>
      </c>
      <c r="H208" t="s">
        <v>70</v>
      </c>
      <c r="I208" t="s">
        <v>71</v>
      </c>
      <c r="J208" t="s">
        <v>72</v>
      </c>
      <c r="K208" s="4">
        <v>496000</v>
      </c>
      <c r="L208" s="4">
        <v>0</v>
      </c>
      <c r="M208" s="4">
        <f t="shared" si="21"/>
        <v>496000</v>
      </c>
      <c r="N208" s="4">
        <v>1653</v>
      </c>
      <c r="O208" s="4">
        <f t="shared" si="22"/>
        <v>496000</v>
      </c>
      <c r="P208" s="4">
        <f t="shared" si="23"/>
        <v>496000</v>
      </c>
      <c r="Q208" t="str">
        <f>IF(M208&lt;=0,"Cobrada",IF(L208&gt;0,"Parcial",IF(C208&lt;Resumen!$B$3,"Vencida",IF(C208&lt;=Resumen!$B$3+15,"Por vencer","Pendiente"))))</f>
        <v>Por vencer</v>
      </c>
      <c r="R208" s="5">
        <f>IF(M208&lt;=0,MAX(0,D208-C208),MAX(0,Resumen!$B$3-C208))</f>
        <v>0</v>
      </c>
      <c r="S208" t="str">
        <f>IF(M208&lt;=0,"Sin prioridad",IF(R208&gt;60,"Alta",IF(R208&gt;30,"Media",IF(C208&lt;=Resumen!$B$3+15,"Media","Baja"))))</f>
        <v>Media</v>
      </c>
      <c r="T208" t="s">
        <v>73</v>
      </c>
      <c r="U208" t="s">
        <v>325</v>
      </c>
      <c r="V208" t="s">
        <v>78</v>
      </c>
      <c r="W208" s="3">
        <f t="shared" si="24"/>
        <v>46143</v>
      </c>
      <c r="X208" s="3">
        <f t="shared" si="25"/>
        <v>46204</v>
      </c>
      <c r="Y208" t="s">
        <v>298</v>
      </c>
      <c r="Z208" t="str">
        <f>IF(AND(M208&gt;0,C208&lt;Resumen!$B$3),"Sí","No")</f>
        <v>No</v>
      </c>
      <c r="AA208" t="str">
        <f t="shared" si="26"/>
        <v>No</v>
      </c>
      <c r="AB208" t="str">
        <f t="shared" si="27"/>
        <v>No</v>
      </c>
    </row>
    <row r="209" spans="1:28">
      <c r="A209" t="s">
        <v>335</v>
      </c>
      <c r="B209" s="3">
        <v>46148</v>
      </c>
      <c r="C209" s="3">
        <v>46193</v>
      </c>
      <c r="D209" s="3"/>
      <c r="E209" t="s">
        <v>120</v>
      </c>
      <c r="F209" t="s">
        <v>14</v>
      </c>
      <c r="G209" t="s">
        <v>59</v>
      </c>
      <c r="H209" t="s">
        <v>60</v>
      </c>
      <c r="I209" t="s">
        <v>61</v>
      </c>
      <c r="J209" t="s">
        <v>72</v>
      </c>
      <c r="K209" s="4">
        <v>783000</v>
      </c>
      <c r="L209" s="4">
        <v>0</v>
      </c>
      <c r="M209" s="4">
        <f t="shared" si="21"/>
        <v>783000</v>
      </c>
      <c r="N209" s="4">
        <v>1653</v>
      </c>
      <c r="O209" s="4">
        <f t="shared" si="22"/>
        <v>783000</v>
      </c>
      <c r="P209" s="4">
        <f t="shared" si="23"/>
        <v>783000</v>
      </c>
      <c r="Q209" t="str">
        <f>IF(M209&lt;=0,"Cobrada",IF(L209&gt;0,"Parcial",IF(C209&lt;Resumen!$B$3,"Vencida",IF(C209&lt;=Resumen!$B$3+15,"Por vencer","Pendiente"))))</f>
        <v>Vencida</v>
      </c>
      <c r="R209" s="5">
        <f>IF(M209&lt;=0,MAX(0,D209-C209),MAX(0,Resumen!$B$3-C209))</f>
        <v>11</v>
      </c>
      <c r="S209" t="str">
        <f>IF(M209&lt;=0,"Sin prioridad",IF(R209&gt;60,"Alta",IF(R209&gt;30,"Media",IF(C209&lt;=Resumen!$B$3+15,"Media","Baja"))))</f>
        <v>Media</v>
      </c>
      <c r="T209" t="s">
        <v>63</v>
      </c>
      <c r="U209" t="s">
        <v>179</v>
      </c>
      <c r="W209" s="3">
        <f t="shared" si="24"/>
        <v>46143</v>
      </c>
      <c r="X209" s="3">
        <f t="shared" si="25"/>
        <v>46174</v>
      </c>
      <c r="Y209" t="s">
        <v>298</v>
      </c>
      <c r="Z209" t="str">
        <f>IF(AND(M209&gt;0,C209&lt;Resumen!$B$3),"Sí","No")</f>
        <v>Sí</v>
      </c>
      <c r="AA209" t="str">
        <f t="shared" si="26"/>
        <v>No</v>
      </c>
      <c r="AB209" t="str">
        <f t="shared" si="27"/>
        <v>No</v>
      </c>
    </row>
    <row r="210" spans="1:28">
      <c r="A210" t="s">
        <v>336</v>
      </c>
      <c r="B210" s="3">
        <v>46169</v>
      </c>
      <c r="C210" s="3">
        <v>46184</v>
      </c>
      <c r="D210" s="3">
        <v>46182</v>
      </c>
      <c r="E210" t="s">
        <v>97</v>
      </c>
      <c r="F210" t="s">
        <v>98</v>
      </c>
      <c r="G210" t="s">
        <v>59</v>
      </c>
      <c r="H210" t="s">
        <v>113</v>
      </c>
      <c r="I210" t="s">
        <v>114</v>
      </c>
      <c r="J210" t="s">
        <v>72</v>
      </c>
      <c r="K210" s="4">
        <v>1055000</v>
      </c>
      <c r="L210" s="4">
        <v>1055000</v>
      </c>
      <c r="M210" s="4">
        <f t="shared" si="21"/>
        <v>0</v>
      </c>
      <c r="N210" s="4">
        <v>1653</v>
      </c>
      <c r="O210" s="4">
        <f t="shared" si="22"/>
        <v>1055000</v>
      </c>
      <c r="P210" s="4">
        <f t="shared" si="23"/>
        <v>0</v>
      </c>
      <c r="Q210" t="str">
        <f>IF(M210&lt;=0,"Cobrada",IF(L210&gt;0,"Parcial",IF(C210&lt;Resumen!$B$3,"Vencida",IF(C210&lt;=Resumen!$B$3+15,"Por vencer","Pendiente"))))</f>
        <v>Cobrada</v>
      </c>
      <c r="R210" s="5">
        <f>IF(M210&lt;=0,MAX(0,D210-C210),MAX(0,Resumen!$B$3-C210))</f>
        <v>0</v>
      </c>
      <c r="S210" t="str">
        <f>IF(M210&lt;=0,"Sin prioridad",IF(R210&gt;60,"Alta",IF(R210&gt;30,"Media",IF(C210&lt;=Resumen!$B$3+15,"Media","Baja"))))</f>
        <v>Sin prioridad</v>
      </c>
      <c r="T210" t="s">
        <v>87</v>
      </c>
      <c r="U210" t="s">
        <v>64</v>
      </c>
      <c r="V210" t="s">
        <v>74</v>
      </c>
      <c r="W210" s="3">
        <f t="shared" si="24"/>
        <v>46143</v>
      </c>
      <c r="X210" s="3">
        <f t="shared" si="25"/>
        <v>46174</v>
      </c>
      <c r="Y210" t="s">
        <v>298</v>
      </c>
      <c r="Z210" t="str">
        <f>IF(AND(M210&gt;0,C210&lt;Resumen!$B$3),"Sí","No")</f>
        <v>No</v>
      </c>
      <c r="AA210" t="str">
        <f t="shared" si="26"/>
        <v>No</v>
      </c>
      <c r="AB210" t="str">
        <f t="shared" si="27"/>
        <v>No</v>
      </c>
    </row>
    <row r="211" spans="1:28">
      <c r="A211" t="s">
        <v>337</v>
      </c>
      <c r="B211" s="3">
        <v>46197</v>
      </c>
      <c r="C211" s="3">
        <v>46227</v>
      </c>
      <c r="D211" s="3"/>
      <c r="E211" t="s">
        <v>100</v>
      </c>
      <c r="F211" t="s">
        <v>101</v>
      </c>
      <c r="G211" t="s">
        <v>59</v>
      </c>
      <c r="H211" t="s">
        <v>140</v>
      </c>
      <c r="I211" t="s">
        <v>141</v>
      </c>
      <c r="J211" t="s">
        <v>62</v>
      </c>
      <c r="K211" s="4">
        <v>550</v>
      </c>
      <c r="L211" s="4">
        <v>0</v>
      </c>
      <c r="M211" s="4">
        <f t="shared" si="21"/>
        <v>550</v>
      </c>
      <c r="N211" s="4">
        <v>1669</v>
      </c>
      <c r="O211" s="4">
        <f t="shared" si="22"/>
        <v>917950</v>
      </c>
      <c r="P211" s="4">
        <f t="shared" si="23"/>
        <v>917950</v>
      </c>
      <c r="Q211" t="str">
        <f>IF(M211&lt;=0,"Cobrada",IF(L211&gt;0,"Parcial",IF(C211&lt;Resumen!$B$3,"Vencida",IF(C211&lt;=Resumen!$B$3+15,"Por vencer","Pendiente"))))</f>
        <v>Pendiente</v>
      </c>
      <c r="R211" s="5">
        <f>IF(M211&lt;=0,MAX(0,D211-C211),MAX(0,Resumen!$B$3-C211))</f>
        <v>0</v>
      </c>
      <c r="S211" t="str">
        <f>IF(M211&lt;=0,"Sin prioridad",IF(R211&gt;60,"Alta",IF(R211&gt;30,"Media",IF(C211&lt;=Resumen!$B$3+15,"Media","Baja"))))</f>
        <v>Baja</v>
      </c>
      <c r="T211" t="s">
        <v>87</v>
      </c>
      <c r="U211" t="s">
        <v>325</v>
      </c>
      <c r="V211" t="s">
        <v>80</v>
      </c>
      <c r="W211" s="3">
        <f t="shared" si="24"/>
        <v>46174</v>
      </c>
      <c r="X211" s="3">
        <f t="shared" si="25"/>
        <v>46204</v>
      </c>
      <c r="Y211" t="s">
        <v>298</v>
      </c>
      <c r="Z211" t="str">
        <f>IF(AND(M211&gt;0,C211&lt;Resumen!$B$3),"Sí","No")</f>
        <v>No</v>
      </c>
      <c r="AA211" t="str">
        <f t="shared" si="26"/>
        <v>No</v>
      </c>
      <c r="AB211" t="str">
        <f t="shared" si="27"/>
        <v>Sí</v>
      </c>
    </row>
    <row r="212" spans="1:28">
      <c r="A212" t="s">
        <v>338</v>
      </c>
      <c r="B212" s="3">
        <v>46187</v>
      </c>
      <c r="C212" s="3">
        <v>46202</v>
      </c>
      <c r="D212" s="3"/>
      <c r="E212" t="s">
        <v>68</v>
      </c>
      <c r="F212" t="s">
        <v>69</v>
      </c>
      <c r="G212" t="s">
        <v>59</v>
      </c>
      <c r="H212" t="s">
        <v>70</v>
      </c>
      <c r="I212" t="s">
        <v>71</v>
      </c>
      <c r="J212" t="s">
        <v>72</v>
      </c>
      <c r="K212" s="4">
        <v>769000</v>
      </c>
      <c r="L212" s="4">
        <v>0</v>
      </c>
      <c r="M212" s="4">
        <f t="shared" si="21"/>
        <v>769000</v>
      </c>
      <c r="N212" s="4">
        <v>1669</v>
      </c>
      <c r="O212" s="4">
        <f t="shared" si="22"/>
        <v>769000</v>
      </c>
      <c r="P212" s="4">
        <f t="shared" si="23"/>
        <v>769000</v>
      </c>
      <c r="Q212" t="str">
        <f>IF(M212&lt;=0,"Cobrada",IF(L212&gt;0,"Parcial",IF(C212&lt;Resumen!$B$3,"Vencida",IF(C212&lt;=Resumen!$B$3+15,"Por vencer","Pendiente"))))</f>
        <v>Vencida</v>
      </c>
      <c r="R212" s="5">
        <f>IF(M212&lt;=0,MAX(0,D212-C212),MAX(0,Resumen!$B$3-C212))</f>
        <v>2</v>
      </c>
      <c r="S212" t="str">
        <f>IF(M212&lt;=0,"Sin prioridad",IF(R212&gt;60,"Alta",IF(R212&gt;30,"Media",IF(C212&lt;=Resumen!$B$3+15,"Media","Baja"))))</f>
        <v>Media</v>
      </c>
      <c r="T212" t="s">
        <v>73</v>
      </c>
      <c r="U212" t="s">
        <v>95</v>
      </c>
      <c r="V212" t="s">
        <v>80</v>
      </c>
      <c r="W212" s="3">
        <f t="shared" si="24"/>
        <v>46174</v>
      </c>
      <c r="X212" s="3">
        <f t="shared" si="25"/>
        <v>46174</v>
      </c>
      <c r="Y212" t="s">
        <v>298</v>
      </c>
      <c r="Z212" t="str">
        <f>IF(AND(M212&gt;0,C212&lt;Resumen!$B$3),"Sí","No")</f>
        <v>Sí</v>
      </c>
      <c r="AA212" t="str">
        <f t="shared" si="26"/>
        <v>No</v>
      </c>
      <c r="AB212" t="str">
        <f t="shared" si="27"/>
        <v>No</v>
      </c>
    </row>
    <row r="213" spans="1:28">
      <c r="A213" t="s">
        <v>339</v>
      </c>
      <c r="B213" s="3">
        <v>46201</v>
      </c>
      <c r="C213" s="3">
        <v>46246</v>
      </c>
      <c r="D213" s="3"/>
      <c r="E213" t="s">
        <v>120</v>
      </c>
      <c r="F213" t="s">
        <v>14</v>
      </c>
      <c r="G213" t="s">
        <v>59</v>
      </c>
      <c r="H213" t="s">
        <v>70</v>
      </c>
      <c r="I213" t="s">
        <v>71</v>
      </c>
      <c r="J213" t="s">
        <v>62</v>
      </c>
      <c r="K213" s="4">
        <v>850</v>
      </c>
      <c r="L213" s="4">
        <v>0</v>
      </c>
      <c r="M213" s="4">
        <f t="shared" si="21"/>
        <v>850</v>
      </c>
      <c r="N213" s="4">
        <v>1669</v>
      </c>
      <c r="O213" s="4">
        <f t="shared" si="22"/>
        <v>1418650</v>
      </c>
      <c r="P213" s="4">
        <f t="shared" si="23"/>
        <v>1418650</v>
      </c>
      <c r="Q213" t="str">
        <f>IF(M213&lt;=0,"Cobrada",IF(L213&gt;0,"Parcial",IF(C213&lt;Resumen!$B$3,"Vencida",IF(C213&lt;=Resumen!$B$3+15,"Por vencer","Pendiente"))))</f>
        <v>Pendiente</v>
      </c>
      <c r="R213" s="5">
        <f>IF(M213&lt;=0,MAX(0,D213-C213),MAX(0,Resumen!$B$3-C213))</f>
        <v>0</v>
      </c>
      <c r="S213" t="str">
        <f>IF(M213&lt;=0,"Sin prioridad",IF(R213&gt;60,"Alta",IF(R213&gt;30,"Media",IF(C213&lt;=Resumen!$B$3+15,"Media","Baja"))))</f>
        <v>Baja</v>
      </c>
      <c r="T213" t="s">
        <v>63</v>
      </c>
      <c r="U213" t="s">
        <v>325</v>
      </c>
      <c r="V213" t="s">
        <v>80</v>
      </c>
      <c r="W213" s="3">
        <f t="shared" si="24"/>
        <v>46174</v>
      </c>
      <c r="X213" s="3">
        <f t="shared" si="25"/>
        <v>46235</v>
      </c>
      <c r="Y213" t="s">
        <v>298</v>
      </c>
      <c r="Z213" t="str">
        <f>IF(AND(M213&gt;0,C213&lt;Resumen!$B$3),"Sí","No")</f>
        <v>No</v>
      </c>
      <c r="AA213" t="str">
        <f t="shared" si="26"/>
        <v>No</v>
      </c>
      <c r="AB213" t="str">
        <f t="shared" si="27"/>
        <v>Sí</v>
      </c>
    </row>
    <row r="214" spans="1:28">
      <c r="A214" t="s">
        <v>340</v>
      </c>
      <c r="B214" s="3">
        <v>46197</v>
      </c>
      <c r="C214" s="3">
        <v>46242</v>
      </c>
      <c r="D214" s="3"/>
      <c r="E214" t="s">
        <v>125</v>
      </c>
      <c r="F214" t="s">
        <v>126</v>
      </c>
      <c r="G214" t="s">
        <v>59</v>
      </c>
      <c r="H214" t="s">
        <v>70</v>
      </c>
      <c r="I214" t="s">
        <v>71</v>
      </c>
      <c r="J214" t="s">
        <v>72</v>
      </c>
      <c r="K214" s="4">
        <v>883000</v>
      </c>
      <c r="L214" s="4">
        <v>0</v>
      </c>
      <c r="M214" s="4">
        <f t="shared" si="21"/>
        <v>883000</v>
      </c>
      <c r="N214" s="4">
        <v>1669</v>
      </c>
      <c r="O214" s="4">
        <f t="shared" si="22"/>
        <v>883000</v>
      </c>
      <c r="P214" s="4">
        <f t="shared" si="23"/>
        <v>883000</v>
      </c>
      <c r="Q214" t="str">
        <f>IF(M214&lt;=0,"Cobrada",IF(L214&gt;0,"Parcial",IF(C214&lt;Resumen!$B$3,"Vencida",IF(C214&lt;=Resumen!$B$3+15,"Por vencer","Pendiente"))))</f>
        <v>Pendiente</v>
      </c>
      <c r="R214" s="5">
        <f>IF(M214&lt;=0,MAX(0,D214-C214),MAX(0,Resumen!$B$3-C214))</f>
        <v>0</v>
      </c>
      <c r="S214" t="str">
        <f>IF(M214&lt;=0,"Sin prioridad",IF(R214&gt;60,"Alta",IF(R214&gt;30,"Media",IF(C214&lt;=Resumen!$B$3+15,"Media","Baja"))))</f>
        <v>Baja</v>
      </c>
      <c r="T214" t="s">
        <v>73</v>
      </c>
      <c r="U214" t="s">
        <v>325</v>
      </c>
      <c r="V214" t="s">
        <v>106</v>
      </c>
      <c r="W214" s="3">
        <f t="shared" si="24"/>
        <v>46174</v>
      </c>
      <c r="X214" s="3">
        <f t="shared" si="25"/>
        <v>46235</v>
      </c>
      <c r="Y214" t="s">
        <v>298</v>
      </c>
      <c r="Z214" t="str">
        <f>IF(AND(M214&gt;0,C214&lt;Resumen!$B$3),"Sí","No")</f>
        <v>No</v>
      </c>
      <c r="AA214" t="str">
        <f t="shared" si="26"/>
        <v>No</v>
      </c>
      <c r="AB214" t="str">
        <f t="shared" si="27"/>
        <v>No</v>
      </c>
    </row>
    <row r="215" spans="1:28">
      <c r="A215" t="s">
        <v>341</v>
      </c>
      <c r="B215" s="3">
        <v>46194</v>
      </c>
      <c r="C215" s="3">
        <v>46224</v>
      </c>
      <c r="D215" s="3"/>
      <c r="E215" t="s">
        <v>206</v>
      </c>
      <c r="F215" t="s">
        <v>207</v>
      </c>
      <c r="G215" t="s">
        <v>59</v>
      </c>
      <c r="H215" t="s">
        <v>140</v>
      </c>
      <c r="I215" t="s">
        <v>141</v>
      </c>
      <c r="J215" t="s">
        <v>62</v>
      </c>
      <c r="K215" s="4">
        <v>1150</v>
      </c>
      <c r="L215" s="4">
        <v>0</v>
      </c>
      <c r="M215" s="4">
        <f t="shared" si="21"/>
        <v>1150</v>
      </c>
      <c r="N215" s="4">
        <v>1669</v>
      </c>
      <c r="O215" s="4">
        <f t="shared" si="22"/>
        <v>1919350</v>
      </c>
      <c r="P215" s="4">
        <f t="shared" si="23"/>
        <v>1919350</v>
      </c>
      <c r="Q215" t="str">
        <f>IF(M215&lt;=0,"Cobrada",IF(L215&gt;0,"Parcial",IF(C215&lt;Resumen!$B$3,"Vencida",IF(C215&lt;=Resumen!$B$3+15,"Por vencer","Pendiente"))))</f>
        <v>Pendiente</v>
      </c>
      <c r="R215" s="5">
        <f>IF(M215&lt;=0,MAX(0,D215-C215),MAX(0,Resumen!$B$3-C215))</f>
        <v>0</v>
      </c>
      <c r="S215" t="str">
        <f>IF(M215&lt;=0,"Sin prioridad",IF(R215&gt;60,"Alta",IF(R215&gt;30,"Media",IF(C215&lt;=Resumen!$B$3+15,"Media","Baja"))))</f>
        <v>Baja</v>
      </c>
      <c r="T215" t="s">
        <v>83</v>
      </c>
      <c r="U215" t="s">
        <v>325</v>
      </c>
      <c r="W215" s="3">
        <f t="shared" si="24"/>
        <v>46174</v>
      </c>
      <c r="X215" s="3">
        <f t="shared" si="25"/>
        <v>46204</v>
      </c>
      <c r="Y215" t="s">
        <v>298</v>
      </c>
      <c r="Z215" t="str">
        <f>IF(AND(M215&gt;0,C215&lt;Resumen!$B$3),"Sí","No")</f>
        <v>No</v>
      </c>
      <c r="AA215" t="str">
        <f t="shared" si="26"/>
        <v>No</v>
      </c>
      <c r="AB215" t="str">
        <f t="shared" si="27"/>
        <v>Sí</v>
      </c>
    </row>
    <row r="216" spans="1:28">
      <c r="A216" t="s">
        <v>342</v>
      </c>
      <c r="B216" s="3">
        <v>46187</v>
      </c>
      <c r="C216" s="3">
        <v>46217</v>
      </c>
      <c r="D216" s="3"/>
      <c r="E216" t="s">
        <v>118</v>
      </c>
      <c r="F216" t="s">
        <v>22</v>
      </c>
      <c r="G216" t="s">
        <v>59</v>
      </c>
      <c r="H216" t="s">
        <v>60</v>
      </c>
      <c r="I216" t="s">
        <v>61</v>
      </c>
      <c r="J216" t="s">
        <v>72</v>
      </c>
      <c r="K216" s="4">
        <v>845000</v>
      </c>
      <c r="L216" s="4">
        <v>0</v>
      </c>
      <c r="M216" s="4">
        <f t="shared" si="21"/>
        <v>845000</v>
      </c>
      <c r="N216" s="4">
        <v>1669</v>
      </c>
      <c r="O216" s="4">
        <f t="shared" si="22"/>
        <v>845000</v>
      </c>
      <c r="P216" s="4">
        <f t="shared" si="23"/>
        <v>845000</v>
      </c>
      <c r="Q216" t="str">
        <f>IF(M216&lt;=0,"Cobrada",IF(L216&gt;0,"Parcial",IF(C216&lt;Resumen!$B$3,"Vencida",IF(C216&lt;=Resumen!$B$3+15,"Por vencer","Pendiente"))))</f>
        <v>Por vencer</v>
      </c>
      <c r="R216" s="5">
        <f>IF(M216&lt;=0,MAX(0,D216-C216),MAX(0,Resumen!$B$3-C216))</f>
        <v>0</v>
      </c>
      <c r="S216" t="str">
        <f>IF(M216&lt;=0,"Sin prioridad",IF(R216&gt;60,"Alta",IF(R216&gt;30,"Media",IF(C216&lt;=Resumen!$B$3+15,"Media","Baja"))))</f>
        <v>Media</v>
      </c>
      <c r="T216" t="s">
        <v>87</v>
      </c>
      <c r="U216" t="s">
        <v>325</v>
      </c>
      <c r="V216" t="s">
        <v>80</v>
      </c>
      <c r="W216" s="3">
        <f t="shared" si="24"/>
        <v>46174</v>
      </c>
      <c r="X216" s="3">
        <f t="shared" si="25"/>
        <v>46204</v>
      </c>
      <c r="Y216" t="s">
        <v>298</v>
      </c>
      <c r="Z216" t="str">
        <f>IF(AND(M216&gt;0,C216&lt;Resumen!$B$3),"Sí","No")</f>
        <v>No</v>
      </c>
      <c r="AA216" t="str">
        <f t="shared" si="26"/>
        <v>No</v>
      </c>
      <c r="AB216" t="str">
        <f t="shared" si="27"/>
        <v>No</v>
      </c>
    </row>
    <row r="217" spans="1:28">
      <c r="A217" t="s">
        <v>343</v>
      </c>
      <c r="B217" s="3">
        <v>46184</v>
      </c>
      <c r="C217" s="3">
        <v>46244</v>
      </c>
      <c r="D217" s="3"/>
      <c r="E217" t="s">
        <v>93</v>
      </c>
      <c r="F217" t="s">
        <v>19</v>
      </c>
      <c r="G217" t="s">
        <v>59</v>
      </c>
      <c r="H217" t="s">
        <v>110</v>
      </c>
      <c r="I217" t="s">
        <v>111</v>
      </c>
      <c r="J217" t="s">
        <v>72</v>
      </c>
      <c r="K217" s="4">
        <v>735000</v>
      </c>
      <c r="L217" s="4">
        <v>0</v>
      </c>
      <c r="M217" s="4">
        <f t="shared" si="21"/>
        <v>735000</v>
      </c>
      <c r="N217" s="4">
        <v>1669</v>
      </c>
      <c r="O217" s="4">
        <f t="shared" si="22"/>
        <v>735000</v>
      </c>
      <c r="P217" s="4">
        <f t="shared" si="23"/>
        <v>735000</v>
      </c>
      <c r="Q217" t="str">
        <f>IF(M217&lt;=0,"Cobrada",IF(L217&gt;0,"Parcial",IF(C217&lt;Resumen!$B$3,"Vencida",IF(C217&lt;=Resumen!$B$3+15,"Por vencer","Pendiente"))))</f>
        <v>Pendiente</v>
      </c>
      <c r="R217" s="5">
        <f>IF(M217&lt;=0,MAX(0,D217-C217),MAX(0,Resumen!$B$3-C217))</f>
        <v>0</v>
      </c>
      <c r="S217" t="str">
        <f>IF(M217&lt;=0,"Sin prioridad",IF(R217&gt;60,"Alta",IF(R217&gt;30,"Media",IF(C217&lt;=Resumen!$B$3+15,"Media","Baja"))))</f>
        <v>Baja</v>
      </c>
      <c r="T217" t="s">
        <v>87</v>
      </c>
      <c r="U217" t="s">
        <v>325</v>
      </c>
      <c r="V217" t="s">
        <v>80</v>
      </c>
      <c r="W217" s="3">
        <f t="shared" si="24"/>
        <v>46174</v>
      </c>
      <c r="X217" s="3">
        <f t="shared" si="25"/>
        <v>46235</v>
      </c>
      <c r="Y217" t="s">
        <v>298</v>
      </c>
      <c r="Z217" t="str">
        <f>IF(AND(M217&gt;0,C217&lt;Resumen!$B$3),"Sí","No")</f>
        <v>No</v>
      </c>
      <c r="AA217" t="str">
        <f t="shared" si="26"/>
        <v>No</v>
      </c>
      <c r="AB217" t="str">
        <f t="shared" si="27"/>
        <v>No</v>
      </c>
    </row>
    <row r="218" spans="1:28">
      <c r="A218" t="s">
        <v>344</v>
      </c>
      <c r="B218" s="3">
        <v>46174</v>
      </c>
      <c r="C218" s="3">
        <v>46204</v>
      </c>
      <c r="D218" s="3">
        <v>46201</v>
      </c>
      <c r="E218" t="s">
        <v>100</v>
      </c>
      <c r="F218" t="s">
        <v>101</v>
      </c>
      <c r="G218" t="s">
        <v>59</v>
      </c>
      <c r="H218" t="s">
        <v>110</v>
      </c>
      <c r="I218" t="s">
        <v>111</v>
      </c>
      <c r="J218" t="s">
        <v>72</v>
      </c>
      <c r="K218" s="4">
        <v>530000</v>
      </c>
      <c r="L218" s="4">
        <v>530000</v>
      </c>
      <c r="M218" s="4">
        <f t="shared" si="21"/>
        <v>0</v>
      </c>
      <c r="N218" s="4">
        <v>1669</v>
      </c>
      <c r="O218" s="4">
        <f t="shared" si="22"/>
        <v>530000</v>
      </c>
      <c r="P218" s="4">
        <f t="shared" si="23"/>
        <v>0</v>
      </c>
      <c r="Q218" t="str">
        <f>IF(M218&lt;=0,"Cobrada",IF(L218&gt;0,"Parcial",IF(C218&lt;Resumen!$B$3,"Vencida",IF(C218&lt;=Resumen!$B$3+15,"Por vencer","Pendiente"))))</f>
        <v>Cobrada</v>
      </c>
      <c r="R218" s="5">
        <f>IF(M218&lt;=0,MAX(0,D218-C218),MAX(0,Resumen!$B$3-C218))</f>
        <v>0</v>
      </c>
      <c r="S218" t="str">
        <f>IF(M218&lt;=0,"Sin prioridad",IF(R218&gt;60,"Alta",IF(R218&gt;30,"Media",IF(C218&lt;=Resumen!$B$3+15,"Media","Baja"))))</f>
        <v>Sin prioridad</v>
      </c>
      <c r="T218" t="s">
        <v>87</v>
      </c>
      <c r="U218" t="s">
        <v>64</v>
      </c>
      <c r="V218" t="s">
        <v>80</v>
      </c>
      <c r="W218" s="3">
        <f t="shared" si="24"/>
        <v>46174</v>
      </c>
      <c r="X218" s="3">
        <f t="shared" si="25"/>
        <v>46204</v>
      </c>
      <c r="Y218" t="s">
        <v>298</v>
      </c>
      <c r="Z218" t="str">
        <f>IF(AND(M218&gt;0,C218&lt;Resumen!$B$3),"Sí","No")</f>
        <v>No</v>
      </c>
      <c r="AA218" t="str">
        <f t="shared" si="26"/>
        <v>No</v>
      </c>
      <c r="AB218" t="str">
        <f t="shared" si="27"/>
        <v>No</v>
      </c>
    </row>
    <row r="219" spans="1:28">
      <c r="A219" t="s">
        <v>345</v>
      </c>
      <c r="B219" s="3">
        <v>46180</v>
      </c>
      <c r="C219" s="3">
        <v>46195</v>
      </c>
      <c r="D219" s="3"/>
      <c r="E219" t="s">
        <v>108</v>
      </c>
      <c r="F219" t="s">
        <v>109</v>
      </c>
      <c r="G219" t="s">
        <v>59</v>
      </c>
      <c r="H219" t="s">
        <v>60</v>
      </c>
      <c r="I219" t="s">
        <v>61</v>
      </c>
      <c r="J219" t="s">
        <v>72</v>
      </c>
      <c r="K219" s="4">
        <v>503000</v>
      </c>
      <c r="L219" s="4">
        <v>0</v>
      </c>
      <c r="M219" s="4">
        <f t="shared" si="21"/>
        <v>503000</v>
      </c>
      <c r="N219" s="4">
        <v>1669</v>
      </c>
      <c r="O219" s="4">
        <f t="shared" si="22"/>
        <v>503000</v>
      </c>
      <c r="P219" s="4">
        <f t="shared" si="23"/>
        <v>503000</v>
      </c>
      <c r="Q219" t="str">
        <f>IF(M219&lt;=0,"Cobrada",IF(L219&gt;0,"Parcial",IF(C219&lt;Resumen!$B$3,"Vencida",IF(C219&lt;=Resumen!$B$3+15,"Por vencer","Pendiente"))))</f>
        <v>Vencida</v>
      </c>
      <c r="R219" s="5">
        <f>IF(M219&lt;=0,MAX(0,D219-C219),MAX(0,Resumen!$B$3-C219))</f>
        <v>9</v>
      </c>
      <c r="S219" t="str">
        <f>IF(M219&lt;=0,"Sin prioridad",IF(R219&gt;60,"Alta",IF(R219&gt;30,"Media",IF(C219&lt;=Resumen!$B$3+15,"Media","Baja"))))</f>
        <v>Media</v>
      </c>
      <c r="T219" t="s">
        <v>63</v>
      </c>
      <c r="U219" t="s">
        <v>95</v>
      </c>
      <c r="V219" t="s">
        <v>74</v>
      </c>
      <c r="W219" s="3">
        <f t="shared" si="24"/>
        <v>46174</v>
      </c>
      <c r="X219" s="3">
        <f t="shared" si="25"/>
        <v>46174</v>
      </c>
      <c r="Y219" t="s">
        <v>298</v>
      </c>
      <c r="Z219" t="str">
        <f>IF(AND(M219&gt;0,C219&lt;Resumen!$B$3),"Sí","No")</f>
        <v>Sí</v>
      </c>
      <c r="AA219" t="str">
        <f t="shared" si="26"/>
        <v>No</v>
      </c>
      <c r="AB219" t="str">
        <f t="shared" si="27"/>
        <v>No</v>
      </c>
    </row>
    <row r="220" spans="1:28">
      <c r="A220" t="s">
        <v>346</v>
      </c>
      <c r="B220" s="3">
        <v>46174</v>
      </c>
      <c r="C220" s="3">
        <v>46204</v>
      </c>
      <c r="D220" s="3"/>
      <c r="E220" t="s">
        <v>100</v>
      </c>
      <c r="F220" t="s">
        <v>101</v>
      </c>
      <c r="G220" t="s">
        <v>59</v>
      </c>
      <c r="H220" t="s">
        <v>70</v>
      </c>
      <c r="I220" t="s">
        <v>71</v>
      </c>
      <c r="J220" t="s">
        <v>72</v>
      </c>
      <c r="K220" s="4">
        <v>411000</v>
      </c>
      <c r="L220" s="4">
        <v>0</v>
      </c>
      <c r="M220" s="4">
        <f t="shared" si="21"/>
        <v>411000</v>
      </c>
      <c r="N220" s="4">
        <v>1669</v>
      </c>
      <c r="O220" s="4">
        <f t="shared" si="22"/>
        <v>411000</v>
      </c>
      <c r="P220" s="4">
        <f t="shared" si="23"/>
        <v>411000</v>
      </c>
      <c r="Q220" t="str">
        <f>IF(M220&lt;=0,"Cobrada",IF(L220&gt;0,"Parcial",IF(C220&lt;Resumen!$B$3,"Vencida",IF(C220&lt;=Resumen!$B$3+15,"Por vencer","Pendiente"))))</f>
        <v>Por vencer</v>
      </c>
      <c r="R220" s="5">
        <f>IF(M220&lt;=0,MAX(0,D220-C220),MAX(0,Resumen!$B$3-C220))</f>
        <v>0</v>
      </c>
      <c r="S220" t="str">
        <f>IF(M220&lt;=0,"Sin prioridad",IF(R220&gt;60,"Alta",IF(R220&gt;30,"Media",IF(C220&lt;=Resumen!$B$3+15,"Media","Baja"))))</f>
        <v>Media</v>
      </c>
      <c r="T220" t="s">
        <v>87</v>
      </c>
      <c r="U220" t="s">
        <v>91</v>
      </c>
      <c r="V220" t="s">
        <v>65</v>
      </c>
      <c r="W220" s="3">
        <f t="shared" si="24"/>
        <v>46174</v>
      </c>
      <c r="X220" s="3">
        <f t="shared" si="25"/>
        <v>46204</v>
      </c>
      <c r="Y220" t="s">
        <v>298</v>
      </c>
      <c r="Z220" t="str">
        <f>IF(AND(M220&gt;0,C220&lt;Resumen!$B$3),"Sí","No")</f>
        <v>No</v>
      </c>
      <c r="AA220" t="str">
        <f t="shared" si="26"/>
        <v>No</v>
      </c>
      <c r="AB220" t="str">
        <f t="shared" si="27"/>
        <v>No</v>
      </c>
    </row>
    <row r="221" spans="1:28">
      <c r="A221" t="s">
        <v>347</v>
      </c>
      <c r="B221" s="3">
        <v>46181</v>
      </c>
      <c r="C221" s="3">
        <v>46226</v>
      </c>
      <c r="D221" s="3"/>
      <c r="E221" t="s">
        <v>143</v>
      </c>
      <c r="F221" t="s">
        <v>144</v>
      </c>
      <c r="G221" t="s">
        <v>59</v>
      </c>
      <c r="H221" t="s">
        <v>60</v>
      </c>
      <c r="I221" t="s">
        <v>61</v>
      </c>
      <c r="J221" t="s">
        <v>72</v>
      </c>
      <c r="K221" s="4">
        <v>613000</v>
      </c>
      <c r="L221" s="4">
        <v>0</v>
      </c>
      <c r="M221" s="4">
        <f t="shared" si="21"/>
        <v>613000</v>
      </c>
      <c r="N221" s="4">
        <v>1669</v>
      </c>
      <c r="O221" s="4">
        <f t="shared" si="22"/>
        <v>613000</v>
      </c>
      <c r="P221" s="4">
        <f t="shared" si="23"/>
        <v>613000</v>
      </c>
      <c r="Q221" t="str">
        <f>IF(M221&lt;=0,"Cobrada",IF(L221&gt;0,"Parcial",IF(C221&lt;Resumen!$B$3,"Vencida",IF(C221&lt;=Resumen!$B$3+15,"Por vencer","Pendiente"))))</f>
        <v>Pendiente</v>
      </c>
      <c r="R221" s="5">
        <f>IF(M221&lt;=0,MAX(0,D221-C221),MAX(0,Resumen!$B$3-C221))</f>
        <v>0</v>
      </c>
      <c r="S221" t="str">
        <f>IF(M221&lt;=0,"Sin prioridad",IF(R221&gt;60,"Alta",IF(R221&gt;30,"Media",IF(C221&lt;=Resumen!$B$3+15,"Media","Baja"))))</f>
        <v>Baja</v>
      </c>
      <c r="T221" t="s">
        <v>87</v>
      </c>
      <c r="U221" t="s">
        <v>325</v>
      </c>
      <c r="V221" t="s">
        <v>74</v>
      </c>
      <c r="W221" s="3">
        <f t="shared" si="24"/>
        <v>46174</v>
      </c>
      <c r="X221" s="3">
        <f t="shared" si="25"/>
        <v>46204</v>
      </c>
      <c r="Y221" t="s">
        <v>298</v>
      </c>
      <c r="Z221" t="str">
        <f>IF(AND(M221&gt;0,C221&lt;Resumen!$B$3),"Sí","No")</f>
        <v>No</v>
      </c>
      <c r="AA221" t="str">
        <f t="shared" si="26"/>
        <v>No</v>
      </c>
      <c r="AB221" t="str">
        <f t="shared" si="27"/>
        <v>No</v>
      </c>
    </row>
    <row r="222" spans="1:28">
      <c r="A222" t="s">
        <v>348</v>
      </c>
      <c r="B222" s="3">
        <v>46190</v>
      </c>
      <c r="C222" s="3">
        <v>46205</v>
      </c>
      <c r="D222" s="3"/>
      <c r="E222" t="s">
        <v>68</v>
      </c>
      <c r="F222" t="s">
        <v>69</v>
      </c>
      <c r="G222" t="s">
        <v>59</v>
      </c>
      <c r="H222" t="s">
        <v>110</v>
      </c>
      <c r="I222" t="s">
        <v>111</v>
      </c>
      <c r="J222" t="s">
        <v>72</v>
      </c>
      <c r="K222" s="4">
        <v>704000</v>
      </c>
      <c r="L222" s="4">
        <v>0</v>
      </c>
      <c r="M222" s="4">
        <f t="shared" si="21"/>
        <v>704000</v>
      </c>
      <c r="N222" s="4">
        <v>1669</v>
      </c>
      <c r="O222" s="4">
        <f t="shared" si="22"/>
        <v>704000</v>
      </c>
      <c r="P222" s="4">
        <f t="shared" si="23"/>
        <v>704000</v>
      </c>
      <c r="Q222" t="str">
        <f>IF(M222&lt;=0,"Cobrada",IF(L222&gt;0,"Parcial",IF(C222&lt;Resumen!$B$3,"Vencida",IF(C222&lt;=Resumen!$B$3+15,"Por vencer","Pendiente"))))</f>
        <v>Por vencer</v>
      </c>
      <c r="R222" s="5">
        <f>IF(M222&lt;=0,MAX(0,D222-C222),MAX(0,Resumen!$B$3-C222))</f>
        <v>0</v>
      </c>
      <c r="S222" t="str">
        <f>IF(M222&lt;=0,"Sin prioridad",IF(R222&gt;60,"Alta",IF(R222&gt;30,"Media",IF(C222&lt;=Resumen!$B$3+15,"Media","Baja"))))</f>
        <v>Media</v>
      </c>
      <c r="T222" t="s">
        <v>73</v>
      </c>
      <c r="U222" t="s">
        <v>325</v>
      </c>
      <c r="V222" t="s">
        <v>78</v>
      </c>
      <c r="W222" s="3">
        <f t="shared" si="24"/>
        <v>46174</v>
      </c>
      <c r="X222" s="3">
        <f t="shared" si="25"/>
        <v>46204</v>
      </c>
      <c r="Y222" t="s">
        <v>298</v>
      </c>
      <c r="Z222" t="str">
        <f>IF(AND(M222&gt;0,C222&lt;Resumen!$B$3),"Sí","No")</f>
        <v>No</v>
      </c>
      <c r="AA222" t="str">
        <f t="shared" si="26"/>
        <v>No</v>
      </c>
      <c r="AB222" t="str">
        <f t="shared" si="27"/>
        <v>No</v>
      </c>
    </row>
    <row r="223" spans="1:28">
      <c r="A223" t="s">
        <v>349</v>
      </c>
      <c r="B223" s="3">
        <v>46199</v>
      </c>
      <c r="C223" s="3">
        <v>46214</v>
      </c>
      <c r="D223" s="3"/>
      <c r="E223" t="s">
        <v>165</v>
      </c>
      <c r="F223" t="s">
        <v>166</v>
      </c>
      <c r="G223" t="s">
        <v>59</v>
      </c>
      <c r="H223" t="s">
        <v>113</v>
      </c>
      <c r="I223" t="s">
        <v>114</v>
      </c>
      <c r="J223" t="s">
        <v>62</v>
      </c>
      <c r="K223" s="4">
        <v>2050</v>
      </c>
      <c r="L223" s="4">
        <v>0</v>
      </c>
      <c r="M223" s="4">
        <f t="shared" si="21"/>
        <v>2050</v>
      </c>
      <c r="N223" s="4">
        <v>1669</v>
      </c>
      <c r="O223" s="4">
        <f t="shared" si="22"/>
        <v>3421450</v>
      </c>
      <c r="P223" s="4">
        <f t="shared" si="23"/>
        <v>3421450</v>
      </c>
      <c r="Q223" t="str">
        <f>IF(M223&lt;=0,"Cobrada",IF(L223&gt;0,"Parcial",IF(C223&lt;Resumen!$B$3,"Vencida",IF(C223&lt;=Resumen!$B$3+15,"Por vencer","Pendiente"))))</f>
        <v>Por vencer</v>
      </c>
      <c r="R223" s="5">
        <f>IF(M223&lt;=0,MAX(0,D223-C223),MAX(0,Resumen!$B$3-C223))</f>
        <v>0</v>
      </c>
      <c r="S223" t="str">
        <f>IF(M223&lt;=0,"Sin prioridad",IF(R223&gt;60,"Alta",IF(R223&gt;30,"Media",IF(C223&lt;=Resumen!$B$3+15,"Media","Baja"))))</f>
        <v>Media</v>
      </c>
      <c r="T223" t="s">
        <v>87</v>
      </c>
      <c r="U223" t="s">
        <v>325</v>
      </c>
      <c r="V223" t="s">
        <v>106</v>
      </c>
      <c r="W223" s="3">
        <f t="shared" si="24"/>
        <v>46174</v>
      </c>
      <c r="X223" s="3">
        <f t="shared" si="25"/>
        <v>46204</v>
      </c>
      <c r="Y223" t="s">
        <v>298</v>
      </c>
      <c r="Z223" t="str">
        <f>IF(AND(M223&gt;0,C223&lt;Resumen!$B$3),"Sí","No")</f>
        <v>No</v>
      </c>
      <c r="AA223" t="str">
        <f t="shared" si="26"/>
        <v>No</v>
      </c>
      <c r="AB223" t="str">
        <f t="shared" si="27"/>
        <v>Sí</v>
      </c>
    </row>
    <row r="224" spans="1:28">
      <c r="A224" t="s">
        <v>350</v>
      </c>
      <c r="B224" s="3">
        <v>46194</v>
      </c>
      <c r="C224" s="3">
        <v>46239</v>
      </c>
      <c r="D224" s="3"/>
      <c r="E224" t="s">
        <v>125</v>
      </c>
      <c r="F224" t="s">
        <v>126</v>
      </c>
      <c r="G224" t="s">
        <v>59</v>
      </c>
      <c r="H224" t="s">
        <v>60</v>
      </c>
      <c r="I224" t="s">
        <v>61</v>
      </c>
      <c r="J224" t="s">
        <v>72</v>
      </c>
      <c r="K224" s="4">
        <v>653000</v>
      </c>
      <c r="L224" s="4">
        <v>0</v>
      </c>
      <c r="M224" s="4">
        <f t="shared" si="21"/>
        <v>653000</v>
      </c>
      <c r="N224" s="4">
        <v>1669</v>
      </c>
      <c r="O224" s="4">
        <f t="shared" si="22"/>
        <v>653000</v>
      </c>
      <c r="P224" s="4">
        <f t="shared" si="23"/>
        <v>653000</v>
      </c>
      <c r="Q224" t="str">
        <f>IF(M224&lt;=0,"Cobrada",IF(L224&gt;0,"Parcial",IF(C224&lt;Resumen!$B$3,"Vencida",IF(C224&lt;=Resumen!$B$3+15,"Por vencer","Pendiente"))))</f>
        <v>Pendiente</v>
      </c>
      <c r="R224" s="5">
        <f>IF(M224&lt;=0,MAX(0,D224-C224),MAX(0,Resumen!$B$3-C224))</f>
        <v>0</v>
      </c>
      <c r="S224" t="str">
        <f>IF(M224&lt;=0,"Sin prioridad",IF(R224&gt;60,"Alta",IF(R224&gt;30,"Media",IF(C224&lt;=Resumen!$B$3+15,"Media","Baja"))))</f>
        <v>Baja</v>
      </c>
      <c r="T224" t="s">
        <v>73</v>
      </c>
      <c r="U224" t="s">
        <v>325</v>
      </c>
      <c r="V224" t="s">
        <v>65</v>
      </c>
      <c r="W224" s="3">
        <f t="shared" si="24"/>
        <v>46174</v>
      </c>
      <c r="X224" s="3">
        <f t="shared" si="25"/>
        <v>46235</v>
      </c>
      <c r="Y224" t="s">
        <v>298</v>
      </c>
      <c r="Z224" t="str">
        <f>IF(AND(M224&gt;0,C224&lt;Resumen!$B$3),"Sí","No")</f>
        <v>No</v>
      </c>
      <c r="AA224" t="str">
        <f t="shared" si="26"/>
        <v>No</v>
      </c>
      <c r="AB224" t="str">
        <f t="shared" si="27"/>
        <v>No</v>
      </c>
    </row>
    <row r="225" spans="1:28">
      <c r="A225" t="s">
        <v>351</v>
      </c>
      <c r="B225" s="3">
        <v>46178</v>
      </c>
      <c r="C225" s="3">
        <v>46208</v>
      </c>
      <c r="D225" s="3"/>
      <c r="E225" t="s">
        <v>90</v>
      </c>
      <c r="F225" t="s">
        <v>12</v>
      </c>
      <c r="G225" t="s">
        <v>59</v>
      </c>
      <c r="H225" t="s">
        <v>60</v>
      </c>
      <c r="I225" t="s">
        <v>61</v>
      </c>
      <c r="J225" t="s">
        <v>62</v>
      </c>
      <c r="K225" s="4">
        <v>650</v>
      </c>
      <c r="L225" s="4">
        <v>0</v>
      </c>
      <c r="M225" s="4">
        <f t="shared" si="21"/>
        <v>650</v>
      </c>
      <c r="N225" s="4">
        <v>1669</v>
      </c>
      <c r="O225" s="4">
        <f t="shared" si="22"/>
        <v>1084850</v>
      </c>
      <c r="P225" s="4">
        <f t="shared" si="23"/>
        <v>1084850</v>
      </c>
      <c r="Q225" t="str">
        <f>IF(M225&lt;=0,"Cobrada",IF(L225&gt;0,"Parcial",IF(C225&lt;Resumen!$B$3,"Vencida",IF(C225&lt;=Resumen!$B$3+15,"Por vencer","Pendiente"))))</f>
        <v>Por vencer</v>
      </c>
      <c r="R225" s="5">
        <f>IF(M225&lt;=0,MAX(0,D225-C225),MAX(0,Resumen!$B$3-C225))</f>
        <v>0</v>
      </c>
      <c r="S225" t="str">
        <f>IF(M225&lt;=0,"Sin prioridad",IF(R225&gt;60,"Alta",IF(R225&gt;30,"Media",IF(C225&lt;=Resumen!$B$3+15,"Media","Baja"))))</f>
        <v>Media</v>
      </c>
      <c r="T225" t="s">
        <v>63</v>
      </c>
      <c r="U225" t="s">
        <v>325</v>
      </c>
      <c r="V225" t="s">
        <v>106</v>
      </c>
      <c r="W225" s="3">
        <f t="shared" si="24"/>
        <v>46174</v>
      </c>
      <c r="X225" s="3">
        <f t="shared" si="25"/>
        <v>46204</v>
      </c>
      <c r="Y225" t="s">
        <v>298</v>
      </c>
      <c r="Z225" t="str">
        <f>IF(AND(M225&gt;0,C225&lt;Resumen!$B$3),"Sí","No")</f>
        <v>No</v>
      </c>
      <c r="AA225" t="str">
        <f t="shared" si="26"/>
        <v>No</v>
      </c>
      <c r="AB225" t="str">
        <f t="shared" si="27"/>
        <v>Sí</v>
      </c>
    </row>
    <row r="226" spans="1:28">
      <c r="A226" t="s">
        <v>352</v>
      </c>
      <c r="B226" s="3">
        <v>46192</v>
      </c>
      <c r="C226" s="3">
        <v>46207</v>
      </c>
      <c r="D226" s="3"/>
      <c r="E226" t="s">
        <v>185</v>
      </c>
      <c r="F226" t="s">
        <v>186</v>
      </c>
      <c r="G226" t="s">
        <v>59</v>
      </c>
      <c r="H226" t="s">
        <v>70</v>
      </c>
      <c r="I226" t="s">
        <v>71</v>
      </c>
      <c r="J226" t="s">
        <v>72</v>
      </c>
      <c r="K226" s="4">
        <v>384000</v>
      </c>
      <c r="L226" s="4">
        <v>0</v>
      </c>
      <c r="M226" s="4">
        <f t="shared" si="21"/>
        <v>384000</v>
      </c>
      <c r="N226" s="4">
        <v>1669</v>
      </c>
      <c r="O226" s="4">
        <f t="shared" si="22"/>
        <v>384000</v>
      </c>
      <c r="P226" s="4">
        <f t="shared" si="23"/>
        <v>384000</v>
      </c>
      <c r="Q226" t="str">
        <f>IF(M226&lt;=0,"Cobrada",IF(L226&gt;0,"Parcial",IF(C226&lt;Resumen!$B$3,"Vencida",IF(C226&lt;=Resumen!$B$3+15,"Por vencer","Pendiente"))))</f>
        <v>Por vencer</v>
      </c>
      <c r="R226" s="5">
        <f>IF(M226&lt;=0,MAX(0,D226-C226),MAX(0,Resumen!$B$3-C226))</f>
        <v>0</v>
      </c>
      <c r="S226" t="str">
        <f>IF(M226&lt;=0,"Sin prioridad",IF(R226&gt;60,"Alta",IF(R226&gt;30,"Media",IF(C226&lt;=Resumen!$B$3+15,"Media","Baja"))))</f>
        <v>Media</v>
      </c>
      <c r="T226" t="s">
        <v>63</v>
      </c>
      <c r="U226" t="s">
        <v>325</v>
      </c>
      <c r="V226" t="s">
        <v>80</v>
      </c>
      <c r="W226" s="3">
        <f t="shared" si="24"/>
        <v>46174</v>
      </c>
      <c r="X226" s="3">
        <f t="shared" si="25"/>
        <v>46204</v>
      </c>
      <c r="Y226" t="s">
        <v>298</v>
      </c>
      <c r="Z226" t="str">
        <f>IF(AND(M226&gt;0,C226&lt;Resumen!$B$3),"Sí","No")</f>
        <v>No</v>
      </c>
      <c r="AA226" t="str">
        <f t="shared" si="26"/>
        <v>No</v>
      </c>
      <c r="AB226" t="str">
        <f t="shared" si="27"/>
        <v>No</v>
      </c>
    </row>
    <row r="227" spans="1:28">
      <c r="A227" t="s">
        <v>353</v>
      </c>
      <c r="B227" s="3">
        <v>46190</v>
      </c>
      <c r="C227" s="3">
        <v>46235</v>
      </c>
      <c r="D227" s="3"/>
      <c r="E227" t="s">
        <v>143</v>
      </c>
      <c r="F227" t="s">
        <v>144</v>
      </c>
      <c r="G227" t="s">
        <v>59</v>
      </c>
      <c r="H227" t="s">
        <v>70</v>
      </c>
      <c r="I227" t="s">
        <v>71</v>
      </c>
      <c r="J227" t="s">
        <v>72</v>
      </c>
      <c r="K227" s="4">
        <v>749000</v>
      </c>
      <c r="L227" s="4">
        <v>0</v>
      </c>
      <c r="M227" s="4">
        <f t="shared" si="21"/>
        <v>749000</v>
      </c>
      <c r="N227" s="4">
        <v>1669</v>
      </c>
      <c r="O227" s="4">
        <f t="shared" si="22"/>
        <v>749000</v>
      </c>
      <c r="P227" s="4">
        <f t="shared" si="23"/>
        <v>749000</v>
      </c>
      <c r="Q227" t="str">
        <f>IF(M227&lt;=0,"Cobrada",IF(L227&gt;0,"Parcial",IF(C227&lt;Resumen!$B$3,"Vencida",IF(C227&lt;=Resumen!$B$3+15,"Por vencer","Pendiente"))))</f>
        <v>Pendiente</v>
      </c>
      <c r="R227" s="5">
        <f>IF(M227&lt;=0,MAX(0,D227-C227),MAX(0,Resumen!$B$3-C227))</f>
        <v>0</v>
      </c>
      <c r="S227" t="str">
        <f>IF(M227&lt;=0,"Sin prioridad",IF(R227&gt;60,"Alta",IF(R227&gt;30,"Media",IF(C227&lt;=Resumen!$B$3+15,"Media","Baja"))))</f>
        <v>Baja</v>
      </c>
      <c r="T227" t="s">
        <v>87</v>
      </c>
      <c r="U227" t="s">
        <v>325</v>
      </c>
      <c r="V227" t="s">
        <v>80</v>
      </c>
      <c r="W227" s="3">
        <f t="shared" si="24"/>
        <v>46174</v>
      </c>
      <c r="X227" s="3">
        <f t="shared" si="25"/>
        <v>46235</v>
      </c>
      <c r="Y227" t="s">
        <v>298</v>
      </c>
      <c r="Z227" t="str">
        <f>IF(AND(M227&gt;0,C227&lt;Resumen!$B$3),"Sí","No")</f>
        <v>No</v>
      </c>
      <c r="AA227" t="str">
        <f t="shared" si="26"/>
        <v>No</v>
      </c>
      <c r="AB227" t="str">
        <f t="shared" si="27"/>
        <v>No</v>
      </c>
    </row>
    <row r="228" spans="1:28">
      <c r="A228" t="s">
        <v>354</v>
      </c>
      <c r="B228" s="3">
        <v>46198</v>
      </c>
      <c r="C228" s="3">
        <v>46243</v>
      </c>
      <c r="D228" s="3"/>
      <c r="E228" t="s">
        <v>178</v>
      </c>
      <c r="F228" t="s">
        <v>23</v>
      </c>
      <c r="G228" t="s">
        <v>59</v>
      </c>
      <c r="H228" t="s">
        <v>70</v>
      </c>
      <c r="I228" t="s">
        <v>71</v>
      </c>
      <c r="J228" t="s">
        <v>72</v>
      </c>
      <c r="K228" s="4">
        <v>682000</v>
      </c>
      <c r="L228" s="4">
        <v>0</v>
      </c>
      <c r="M228" s="4">
        <f t="shared" si="21"/>
        <v>682000</v>
      </c>
      <c r="N228" s="4">
        <v>1669</v>
      </c>
      <c r="O228" s="4">
        <f t="shared" si="22"/>
        <v>682000</v>
      </c>
      <c r="P228" s="4">
        <f t="shared" si="23"/>
        <v>682000</v>
      </c>
      <c r="Q228" t="str">
        <f>IF(M228&lt;=0,"Cobrada",IF(L228&gt;0,"Parcial",IF(C228&lt;Resumen!$B$3,"Vencida",IF(C228&lt;=Resumen!$B$3+15,"Por vencer","Pendiente"))))</f>
        <v>Pendiente</v>
      </c>
      <c r="R228" s="5">
        <f>IF(M228&lt;=0,MAX(0,D228-C228),MAX(0,Resumen!$B$3-C228))</f>
        <v>0</v>
      </c>
      <c r="S228" t="str">
        <f>IF(M228&lt;=0,"Sin prioridad",IF(R228&gt;60,"Alta",IF(R228&gt;30,"Media",IF(C228&lt;=Resumen!$B$3+15,"Media","Baja"))))</f>
        <v>Baja</v>
      </c>
      <c r="T228" t="s">
        <v>87</v>
      </c>
      <c r="U228" t="s">
        <v>325</v>
      </c>
      <c r="W228" s="3">
        <f t="shared" si="24"/>
        <v>46174</v>
      </c>
      <c r="X228" s="3">
        <f t="shared" si="25"/>
        <v>46235</v>
      </c>
      <c r="Y228" t="s">
        <v>298</v>
      </c>
      <c r="Z228" t="str">
        <f>IF(AND(M228&gt;0,C228&lt;Resumen!$B$3),"Sí","No")</f>
        <v>No</v>
      </c>
      <c r="AA228" t="str">
        <f t="shared" si="26"/>
        <v>No</v>
      </c>
      <c r="AB228" t="str">
        <f t="shared" si="27"/>
        <v>No</v>
      </c>
    </row>
    <row r="229" spans="1:28">
      <c r="A229" t="s">
        <v>355</v>
      </c>
      <c r="B229" s="3">
        <v>46176</v>
      </c>
      <c r="C229" s="3">
        <v>46191</v>
      </c>
      <c r="D229" s="3">
        <v>46191</v>
      </c>
      <c r="E229" t="s">
        <v>165</v>
      </c>
      <c r="F229" t="s">
        <v>166</v>
      </c>
      <c r="G229" t="s">
        <v>59</v>
      </c>
      <c r="H229" t="s">
        <v>113</v>
      </c>
      <c r="I229" t="s">
        <v>114</v>
      </c>
      <c r="J229" t="s">
        <v>62</v>
      </c>
      <c r="K229" s="4">
        <v>1950</v>
      </c>
      <c r="L229" s="4">
        <v>1950</v>
      </c>
      <c r="M229" s="4">
        <f t="shared" si="21"/>
        <v>0</v>
      </c>
      <c r="N229" s="4">
        <v>1669</v>
      </c>
      <c r="O229" s="4">
        <f t="shared" si="22"/>
        <v>3254550</v>
      </c>
      <c r="P229" s="4">
        <f t="shared" si="23"/>
        <v>0</v>
      </c>
      <c r="Q229" t="str">
        <f>IF(M229&lt;=0,"Cobrada",IF(L229&gt;0,"Parcial",IF(C229&lt;Resumen!$B$3,"Vencida",IF(C229&lt;=Resumen!$B$3+15,"Por vencer","Pendiente"))))</f>
        <v>Cobrada</v>
      </c>
      <c r="R229" s="5">
        <f>IF(M229&lt;=0,MAX(0,D229-C229),MAX(0,Resumen!$B$3-C229))</f>
        <v>0</v>
      </c>
      <c r="S229" t="str">
        <f>IF(M229&lt;=0,"Sin prioridad",IF(R229&gt;60,"Alta",IF(R229&gt;30,"Media",IF(C229&lt;=Resumen!$B$3+15,"Media","Baja"))))</f>
        <v>Sin prioridad</v>
      </c>
      <c r="T229" t="s">
        <v>87</v>
      </c>
      <c r="U229" t="s">
        <v>64</v>
      </c>
      <c r="V229" t="s">
        <v>65</v>
      </c>
      <c r="W229" s="3">
        <f t="shared" si="24"/>
        <v>46174</v>
      </c>
      <c r="X229" s="3">
        <f t="shared" si="25"/>
        <v>46174</v>
      </c>
      <c r="Y229" t="s">
        <v>298</v>
      </c>
      <c r="Z229" t="str">
        <f>IF(AND(M229&gt;0,C229&lt;Resumen!$B$3),"Sí","No")</f>
        <v>No</v>
      </c>
      <c r="AA229" t="str">
        <f t="shared" si="26"/>
        <v>No</v>
      </c>
      <c r="AB229" t="str">
        <f t="shared" si="27"/>
        <v>Sí</v>
      </c>
    </row>
    <row r="230" spans="1:28">
      <c r="A230" t="s">
        <v>356</v>
      </c>
      <c r="B230" s="3">
        <v>46177</v>
      </c>
      <c r="C230" s="3">
        <v>46222</v>
      </c>
      <c r="D230" s="3"/>
      <c r="E230" t="s">
        <v>82</v>
      </c>
      <c r="F230" t="s">
        <v>15</v>
      </c>
      <c r="G230" t="s">
        <v>59</v>
      </c>
      <c r="H230" t="s">
        <v>113</v>
      </c>
      <c r="I230" t="s">
        <v>114</v>
      </c>
      <c r="J230" t="s">
        <v>62</v>
      </c>
      <c r="K230" s="4">
        <v>950</v>
      </c>
      <c r="L230" s="4">
        <v>0</v>
      </c>
      <c r="M230" s="4">
        <f t="shared" si="21"/>
        <v>950</v>
      </c>
      <c r="N230" s="4">
        <v>1669</v>
      </c>
      <c r="O230" s="4">
        <f t="shared" si="22"/>
        <v>1585550</v>
      </c>
      <c r="P230" s="4">
        <f t="shared" si="23"/>
        <v>1585550</v>
      </c>
      <c r="Q230" t="str">
        <f>IF(M230&lt;=0,"Cobrada",IF(L230&gt;0,"Parcial",IF(C230&lt;Resumen!$B$3,"Vencida",IF(C230&lt;=Resumen!$B$3+15,"Por vencer","Pendiente"))))</f>
        <v>Pendiente</v>
      </c>
      <c r="R230" s="5">
        <f>IF(M230&lt;=0,MAX(0,D230-C230),MAX(0,Resumen!$B$3-C230))</f>
        <v>0</v>
      </c>
      <c r="S230" t="str">
        <f>IF(M230&lt;=0,"Sin prioridad",IF(R230&gt;60,"Alta",IF(R230&gt;30,"Media",IF(C230&lt;=Resumen!$B$3+15,"Media","Baja"))))</f>
        <v>Baja</v>
      </c>
      <c r="T230" t="s">
        <v>83</v>
      </c>
      <c r="U230" t="s">
        <v>325</v>
      </c>
      <c r="V230" t="s">
        <v>78</v>
      </c>
      <c r="W230" s="3">
        <f t="shared" si="24"/>
        <v>46174</v>
      </c>
      <c r="X230" s="3">
        <f t="shared" si="25"/>
        <v>46204</v>
      </c>
      <c r="Y230" t="s">
        <v>298</v>
      </c>
      <c r="Z230" t="str">
        <f>IF(AND(M230&gt;0,C230&lt;Resumen!$B$3),"Sí","No")</f>
        <v>No</v>
      </c>
      <c r="AA230" t="str">
        <f t="shared" si="26"/>
        <v>No</v>
      </c>
      <c r="AB230" t="str">
        <f t="shared" si="27"/>
        <v>Sí</v>
      </c>
    </row>
    <row r="231" spans="1:28">
      <c r="A231" t="s">
        <v>357</v>
      </c>
      <c r="B231" s="3">
        <v>46201</v>
      </c>
      <c r="C231" s="3">
        <v>46261</v>
      </c>
      <c r="D231" s="3"/>
      <c r="E231" t="s">
        <v>93</v>
      </c>
      <c r="F231" t="s">
        <v>19</v>
      </c>
      <c r="G231" t="s">
        <v>59</v>
      </c>
      <c r="H231" t="s">
        <v>110</v>
      </c>
      <c r="I231" t="s">
        <v>111</v>
      </c>
      <c r="J231" t="s">
        <v>72</v>
      </c>
      <c r="K231" s="4">
        <v>718000</v>
      </c>
      <c r="L231" s="4">
        <v>0</v>
      </c>
      <c r="M231" s="4">
        <f t="shared" si="21"/>
        <v>718000</v>
      </c>
      <c r="N231" s="4">
        <v>1669</v>
      </c>
      <c r="O231" s="4">
        <f t="shared" si="22"/>
        <v>718000</v>
      </c>
      <c r="P231" s="4">
        <f t="shared" si="23"/>
        <v>718000</v>
      </c>
      <c r="Q231" t="str">
        <f>IF(M231&lt;=0,"Cobrada",IF(L231&gt;0,"Parcial",IF(C231&lt;Resumen!$B$3,"Vencida",IF(C231&lt;=Resumen!$B$3+15,"Por vencer","Pendiente"))))</f>
        <v>Pendiente</v>
      </c>
      <c r="R231" s="5">
        <f>IF(M231&lt;=0,MAX(0,D231-C231),MAX(0,Resumen!$B$3-C231))</f>
        <v>0</v>
      </c>
      <c r="S231" t="str">
        <f>IF(M231&lt;=0,"Sin prioridad",IF(R231&gt;60,"Alta",IF(R231&gt;30,"Media",IF(C231&lt;=Resumen!$B$3+15,"Media","Baja"))))</f>
        <v>Baja</v>
      </c>
      <c r="T231" t="s">
        <v>87</v>
      </c>
      <c r="U231" t="s">
        <v>325</v>
      </c>
      <c r="V231" t="s">
        <v>80</v>
      </c>
      <c r="W231" s="3">
        <f t="shared" si="24"/>
        <v>46174</v>
      </c>
      <c r="X231" s="3">
        <f t="shared" si="25"/>
        <v>46235</v>
      </c>
      <c r="Y231" t="s">
        <v>298</v>
      </c>
      <c r="Z231" t="str">
        <f>IF(AND(M231&gt;0,C231&lt;Resumen!$B$3),"Sí","No")</f>
        <v>No</v>
      </c>
      <c r="AA231" t="str">
        <f t="shared" si="26"/>
        <v>No</v>
      </c>
      <c r="AB231" t="str">
        <f t="shared" si="27"/>
        <v>No</v>
      </c>
    </row>
    <row r="232" spans="1:28">
      <c r="A232" t="s">
        <v>358</v>
      </c>
      <c r="B232" s="3">
        <v>46204</v>
      </c>
      <c r="C232" s="3">
        <v>46249</v>
      </c>
      <c r="D232" s="3"/>
      <c r="E232" t="s">
        <v>160</v>
      </c>
      <c r="F232" t="s">
        <v>17</v>
      </c>
      <c r="G232" t="s">
        <v>59</v>
      </c>
      <c r="H232" t="s">
        <v>113</v>
      </c>
      <c r="I232" t="s">
        <v>114</v>
      </c>
      <c r="J232" t="s">
        <v>62</v>
      </c>
      <c r="K232" s="4">
        <v>1050</v>
      </c>
      <c r="L232" s="4">
        <v>0</v>
      </c>
      <c r="M232" s="4">
        <f t="shared" si="21"/>
        <v>1050</v>
      </c>
      <c r="N232" s="4">
        <v>1716</v>
      </c>
      <c r="O232" s="4">
        <f t="shared" si="22"/>
        <v>1801800</v>
      </c>
      <c r="P232" s="4">
        <f t="shared" si="23"/>
        <v>1801800</v>
      </c>
      <c r="Q232" t="str">
        <f>IF(M232&lt;=0,"Cobrada",IF(L232&gt;0,"Parcial",IF(C232&lt;Resumen!$B$3,"Vencida",IF(C232&lt;=Resumen!$B$3+15,"Por vencer","Pendiente"))))</f>
        <v>Pendiente</v>
      </c>
      <c r="R232" s="5">
        <f>IF(M232&lt;=0,MAX(0,D232-C232),MAX(0,Resumen!$B$3-C232))</f>
        <v>0</v>
      </c>
      <c r="S232" t="str">
        <f>IF(M232&lt;=0,"Sin prioridad",IF(R232&gt;60,"Alta",IF(R232&gt;30,"Media",IF(C232&lt;=Resumen!$B$3+15,"Media","Baja"))))</f>
        <v>Baja</v>
      </c>
      <c r="T232" t="s">
        <v>83</v>
      </c>
      <c r="U232" t="s">
        <v>325</v>
      </c>
      <c r="V232" t="s">
        <v>65</v>
      </c>
      <c r="W232" s="3">
        <f t="shared" si="24"/>
        <v>46204</v>
      </c>
      <c r="X232" s="3">
        <f t="shared" si="25"/>
        <v>46235</v>
      </c>
      <c r="Y232" t="s">
        <v>359</v>
      </c>
      <c r="Z232" t="str">
        <f>IF(AND(M232&gt;0,C232&lt;Resumen!$B$3),"Sí","No")</f>
        <v>No</v>
      </c>
      <c r="AA232" t="str">
        <f t="shared" si="26"/>
        <v>No</v>
      </c>
      <c r="AB232" t="str">
        <f t="shared" si="27"/>
        <v>Sí</v>
      </c>
    </row>
    <row r="233" spans="1:28">
      <c r="A233" t="s">
        <v>360</v>
      </c>
      <c r="B233" s="3">
        <v>46204</v>
      </c>
      <c r="C233" s="3">
        <v>46249</v>
      </c>
      <c r="D233" s="3"/>
      <c r="E233" t="s">
        <v>143</v>
      </c>
      <c r="F233" t="s">
        <v>144</v>
      </c>
      <c r="G233" t="s">
        <v>59</v>
      </c>
      <c r="H233" t="s">
        <v>60</v>
      </c>
      <c r="I233" t="s">
        <v>61</v>
      </c>
      <c r="J233" t="s">
        <v>72</v>
      </c>
      <c r="K233" s="4">
        <v>451000</v>
      </c>
      <c r="L233" s="4">
        <v>0</v>
      </c>
      <c r="M233" s="4">
        <f t="shared" si="21"/>
        <v>451000</v>
      </c>
      <c r="N233" s="4">
        <v>1716</v>
      </c>
      <c r="O233" s="4">
        <f t="shared" si="22"/>
        <v>451000</v>
      </c>
      <c r="P233" s="4">
        <f t="shared" si="23"/>
        <v>451000</v>
      </c>
      <c r="Q233" t="str">
        <f>IF(M233&lt;=0,"Cobrada",IF(L233&gt;0,"Parcial",IF(C233&lt;Resumen!$B$3,"Vencida",IF(C233&lt;=Resumen!$B$3+15,"Por vencer","Pendiente"))))</f>
        <v>Pendiente</v>
      </c>
      <c r="R233" s="5">
        <f>IF(M233&lt;=0,MAX(0,D233-C233),MAX(0,Resumen!$B$3-C233))</f>
        <v>0</v>
      </c>
      <c r="S233" t="str">
        <f>IF(M233&lt;=0,"Sin prioridad",IF(R233&gt;60,"Alta",IF(R233&gt;30,"Media",IF(C233&lt;=Resumen!$B$3+15,"Media","Baja"))))</f>
        <v>Baja</v>
      </c>
      <c r="T233" t="s">
        <v>87</v>
      </c>
      <c r="U233" t="s">
        <v>325</v>
      </c>
      <c r="V233" t="s">
        <v>65</v>
      </c>
      <c r="W233" s="3">
        <f t="shared" si="24"/>
        <v>46204</v>
      </c>
      <c r="X233" s="3">
        <f t="shared" si="25"/>
        <v>46235</v>
      </c>
      <c r="Y233" t="s">
        <v>359</v>
      </c>
      <c r="Z233" t="str">
        <f>IF(AND(M233&gt;0,C233&lt;Resumen!$B$3),"Sí","No")</f>
        <v>No</v>
      </c>
      <c r="AA233" t="str">
        <f t="shared" si="26"/>
        <v>No</v>
      </c>
      <c r="AB233" t="str">
        <f t="shared" si="27"/>
        <v>No</v>
      </c>
    </row>
    <row r="234" spans="1:28">
      <c r="A234" t="s">
        <v>361</v>
      </c>
      <c r="B234" s="3">
        <v>46204</v>
      </c>
      <c r="C234" s="3">
        <v>46234</v>
      </c>
      <c r="D234" s="3"/>
      <c r="E234" t="s">
        <v>90</v>
      </c>
      <c r="F234" t="s">
        <v>12</v>
      </c>
      <c r="G234" t="s">
        <v>59</v>
      </c>
      <c r="H234" t="s">
        <v>113</v>
      </c>
      <c r="I234" t="s">
        <v>114</v>
      </c>
      <c r="J234" t="s">
        <v>72</v>
      </c>
      <c r="K234" s="4">
        <v>952000</v>
      </c>
      <c r="L234" s="4">
        <v>0</v>
      </c>
      <c r="M234" s="4">
        <f t="shared" si="21"/>
        <v>952000</v>
      </c>
      <c r="N234" s="4">
        <v>1716</v>
      </c>
      <c r="O234" s="4">
        <f t="shared" si="22"/>
        <v>952000</v>
      </c>
      <c r="P234" s="4">
        <f t="shared" si="23"/>
        <v>952000</v>
      </c>
      <c r="Q234" t="str">
        <f>IF(M234&lt;=0,"Cobrada",IF(L234&gt;0,"Parcial",IF(C234&lt;Resumen!$B$3,"Vencida",IF(C234&lt;=Resumen!$B$3+15,"Por vencer","Pendiente"))))</f>
        <v>Pendiente</v>
      </c>
      <c r="R234" s="5">
        <f>IF(M234&lt;=0,MAX(0,D234-C234),MAX(0,Resumen!$B$3-C234))</f>
        <v>0</v>
      </c>
      <c r="S234" t="str">
        <f>IF(M234&lt;=0,"Sin prioridad",IF(R234&gt;60,"Alta",IF(R234&gt;30,"Media",IF(C234&lt;=Resumen!$B$3+15,"Media","Baja"))))</f>
        <v>Baja</v>
      </c>
      <c r="T234" t="s">
        <v>63</v>
      </c>
      <c r="U234" t="s">
        <v>325</v>
      </c>
      <c r="V234" t="s">
        <v>78</v>
      </c>
      <c r="W234" s="3">
        <f t="shared" si="24"/>
        <v>46204</v>
      </c>
      <c r="X234" s="3">
        <f t="shared" si="25"/>
        <v>46204</v>
      </c>
      <c r="Y234" t="s">
        <v>359</v>
      </c>
      <c r="Z234" t="str">
        <f>IF(AND(M234&gt;0,C234&lt;Resumen!$B$3),"Sí","No")</f>
        <v>No</v>
      </c>
      <c r="AA234" t="str">
        <f t="shared" si="26"/>
        <v>No</v>
      </c>
      <c r="AB234" t="str">
        <f t="shared" si="27"/>
        <v>No</v>
      </c>
    </row>
    <row r="235" spans="1:28">
      <c r="A235" t="s">
        <v>362</v>
      </c>
      <c r="B235" s="3">
        <v>46204</v>
      </c>
      <c r="C235" s="3">
        <v>46249</v>
      </c>
      <c r="D235" s="3"/>
      <c r="E235" t="s">
        <v>160</v>
      </c>
      <c r="F235" t="s">
        <v>17</v>
      </c>
      <c r="G235" t="s">
        <v>59</v>
      </c>
      <c r="H235" t="s">
        <v>70</v>
      </c>
      <c r="I235" t="s">
        <v>71</v>
      </c>
      <c r="J235" t="s">
        <v>72</v>
      </c>
      <c r="K235" s="4">
        <v>618000</v>
      </c>
      <c r="L235" s="4">
        <v>0</v>
      </c>
      <c r="M235" s="4">
        <f t="shared" si="21"/>
        <v>618000</v>
      </c>
      <c r="N235" s="4">
        <v>1716</v>
      </c>
      <c r="O235" s="4">
        <f t="shared" si="22"/>
        <v>618000</v>
      </c>
      <c r="P235" s="4">
        <f t="shared" si="23"/>
        <v>618000</v>
      </c>
      <c r="Q235" t="str">
        <f>IF(M235&lt;=0,"Cobrada",IF(L235&gt;0,"Parcial",IF(C235&lt;Resumen!$B$3,"Vencida",IF(C235&lt;=Resumen!$B$3+15,"Por vencer","Pendiente"))))</f>
        <v>Pendiente</v>
      </c>
      <c r="R235" s="5">
        <f>IF(M235&lt;=0,MAX(0,D235-C235),MAX(0,Resumen!$B$3-C235))</f>
        <v>0</v>
      </c>
      <c r="S235" t="str">
        <f>IF(M235&lt;=0,"Sin prioridad",IF(R235&gt;60,"Alta",IF(R235&gt;30,"Media",IF(C235&lt;=Resumen!$B$3+15,"Media","Baja"))))</f>
        <v>Baja</v>
      </c>
      <c r="T235" t="s">
        <v>83</v>
      </c>
      <c r="U235" t="s">
        <v>325</v>
      </c>
      <c r="V235" t="s">
        <v>65</v>
      </c>
      <c r="W235" s="3">
        <f t="shared" si="24"/>
        <v>46204</v>
      </c>
      <c r="X235" s="3">
        <f t="shared" si="25"/>
        <v>46235</v>
      </c>
      <c r="Y235" t="s">
        <v>359</v>
      </c>
      <c r="Z235" t="str">
        <f>IF(AND(M235&gt;0,C235&lt;Resumen!$B$3),"Sí","No")</f>
        <v>No</v>
      </c>
      <c r="AA235" t="str">
        <f t="shared" si="26"/>
        <v>No</v>
      </c>
      <c r="AB235" t="str">
        <f t="shared" si="27"/>
        <v>No</v>
      </c>
    </row>
    <row r="236" spans="1:28">
      <c r="A236" t="s">
        <v>363</v>
      </c>
      <c r="B236" s="3">
        <v>46204</v>
      </c>
      <c r="C236" s="3">
        <v>46219</v>
      </c>
      <c r="D236" s="3"/>
      <c r="E236" t="s">
        <v>58</v>
      </c>
      <c r="F236" t="s">
        <v>10</v>
      </c>
      <c r="G236" t="s">
        <v>59</v>
      </c>
      <c r="H236" t="s">
        <v>60</v>
      </c>
      <c r="I236" t="s">
        <v>61</v>
      </c>
      <c r="J236" t="s">
        <v>72</v>
      </c>
      <c r="K236" s="4">
        <v>574000</v>
      </c>
      <c r="L236" s="4">
        <v>0</v>
      </c>
      <c r="M236" s="4">
        <f t="shared" si="21"/>
        <v>574000</v>
      </c>
      <c r="N236" s="4">
        <v>1716</v>
      </c>
      <c r="O236" s="4">
        <f t="shared" si="22"/>
        <v>574000</v>
      </c>
      <c r="P236" s="4">
        <f t="shared" si="23"/>
        <v>574000</v>
      </c>
      <c r="Q236" t="str">
        <f>IF(M236&lt;=0,"Cobrada",IF(L236&gt;0,"Parcial",IF(C236&lt;Resumen!$B$3,"Vencida",IF(C236&lt;=Resumen!$B$3+15,"Por vencer","Pendiente"))))</f>
        <v>Por vencer</v>
      </c>
      <c r="R236" s="5">
        <f>IF(M236&lt;=0,MAX(0,D236-C236),MAX(0,Resumen!$B$3-C236))</f>
        <v>0</v>
      </c>
      <c r="S236" t="str">
        <f>IF(M236&lt;=0,"Sin prioridad",IF(R236&gt;60,"Alta",IF(R236&gt;30,"Media",IF(C236&lt;=Resumen!$B$3+15,"Media","Baja"))))</f>
        <v>Media</v>
      </c>
      <c r="T236" t="s">
        <v>63</v>
      </c>
      <c r="U236" t="s">
        <v>325</v>
      </c>
      <c r="V236" t="s">
        <v>65</v>
      </c>
      <c r="W236" s="3">
        <f t="shared" si="24"/>
        <v>46204</v>
      </c>
      <c r="X236" s="3">
        <f t="shared" si="25"/>
        <v>46204</v>
      </c>
      <c r="Y236" t="s">
        <v>359</v>
      </c>
      <c r="Z236" t="str">
        <f>IF(AND(M236&gt;0,C236&lt;Resumen!$B$3),"Sí","No")</f>
        <v>No</v>
      </c>
      <c r="AA236" t="str">
        <f t="shared" si="26"/>
        <v>No</v>
      </c>
      <c r="AB236" t="str">
        <f t="shared" si="27"/>
        <v>No</v>
      </c>
    </row>
    <row r="237" spans="1:28">
      <c r="A237" t="s">
        <v>364</v>
      </c>
      <c r="B237" s="3">
        <v>46204</v>
      </c>
      <c r="C237" s="3">
        <v>46219</v>
      </c>
      <c r="D237" s="3"/>
      <c r="E237" t="s">
        <v>162</v>
      </c>
      <c r="F237" t="s">
        <v>163</v>
      </c>
      <c r="G237" t="s">
        <v>59</v>
      </c>
      <c r="H237" t="s">
        <v>140</v>
      </c>
      <c r="I237" t="s">
        <v>141</v>
      </c>
      <c r="J237" t="s">
        <v>62</v>
      </c>
      <c r="K237" s="4">
        <v>800</v>
      </c>
      <c r="L237" s="4">
        <v>0</v>
      </c>
      <c r="M237" s="4">
        <f t="shared" si="21"/>
        <v>800</v>
      </c>
      <c r="N237" s="4">
        <v>1716</v>
      </c>
      <c r="O237" s="4">
        <f t="shared" si="22"/>
        <v>1372800</v>
      </c>
      <c r="P237" s="4">
        <f t="shared" si="23"/>
        <v>1372800</v>
      </c>
      <c r="Q237" t="str">
        <f>IF(M237&lt;=0,"Cobrada",IF(L237&gt;0,"Parcial",IF(C237&lt;Resumen!$B$3,"Vencida",IF(C237&lt;=Resumen!$B$3+15,"Por vencer","Pendiente"))))</f>
        <v>Por vencer</v>
      </c>
      <c r="R237" s="5">
        <f>IF(M237&lt;=0,MAX(0,D237-C237),MAX(0,Resumen!$B$3-C237))</f>
        <v>0</v>
      </c>
      <c r="S237" t="str">
        <f>IF(M237&lt;=0,"Sin prioridad",IF(R237&gt;60,"Alta",IF(R237&gt;30,"Media",IF(C237&lt;=Resumen!$B$3+15,"Media","Baja"))))</f>
        <v>Media</v>
      </c>
      <c r="T237" t="s">
        <v>83</v>
      </c>
      <c r="U237" t="s">
        <v>325</v>
      </c>
      <c r="V237" t="s">
        <v>74</v>
      </c>
      <c r="W237" s="3">
        <f t="shared" si="24"/>
        <v>46204</v>
      </c>
      <c r="X237" s="3">
        <f t="shared" si="25"/>
        <v>46204</v>
      </c>
      <c r="Y237" t="s">
        <v>359</v>
      </c>
      <c r="Z237" t="str">
        <f>IF(AND(M237&gt;0,C237&lt;Resumen!$B$3),"Sí","No")</f>
        <v>No</v>
      </c>
      <c r="AA237" t="str">
        <f t="shared" si="26"/>
        <v>No</v>
      </c>
      <c r="AB237" t="str">
        <f t="shared" si="27"/>
        <v>Sí</v>
      </c>
    </row>
  </sheetData>
  <conditionalFormatting sqref="Q2:Q237">
    <cfRule type="expression" dxfId="5" priority="1">
      <formula>$Q2="Vencida"</formula>
    </cfRule>
    <cfRule type="expression" dxfId="4" priority="2">
      <formula>$Q2="Cobrada"</formula>
    </cfRule>
  </conditionalFormatting>
  <conditionalFormatting sqref="S2:S237">
    <cfRule type="expression" dxfId="3" priority="3">
      <formula>$S2="Alta"</formula>
    </cfRule>
    <cfRule type="expression" dxfId="2" priority="4">
      <formula>$S2="Media"</formula>
    </cfRule>
  </conditionalFormatting>
  <dataValidations count="2">
    <dataValidation type="list" sqref="J2:J237" xr:uid="{00000000-0002-0000-0100-000000000000}">
      <formula1>"ARS,USD"</formula1>
    </dataValidation>
    <dataValidation type="list" sqref="U2:U237" xr:uid="{00000000-0002-0000-0100-000001000000}">
      <formula1>"Sin acción,Monitorear vencimiento,Reclamar saldo parcial,Enviar recordatorio,Llamar al cliente,Reenviar factura,Escalar gestión"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0"/>
  <sheetViews>
    <sheetView workbookViewId="0">
      <selection activeCell="C14" sqref="C14"/>
    </sheetView>
  </sheetViews>
  <sheetFormatPr baseColWidth="10" defaultColWidth="9" defaultRowHeight="13.5"/>
  <cols>
    <col min="1" max="1" width="9.5" bestFit="1" customWidth="1"/>
    <col min="2" max="2" width="24.5" bestFit="1" customWidth="1"/>
    <col min="3" max="3" width="23.5" bestFit="1" customWidth="1"/>
    <col min="4" max="4" width="10.75" customWidth="1"/>
    <col min="5" max="5" width="11.625" bestFit="1" customWidth="1"/>
    <col min="6" max="6" width="11.875" bestFit="1" customWidth="1"/>
    <col min="8" max="8" width="34.375" bestFit="1" customWidth="1"/>
    <col min="9" max="9" width="23.5" bestFit="1" customWidth="1"/>
  </cols>
  <sheetData>
    <row r="1" spans="1:9" ht="30" customHeight="1">
      <c r="A1" s="16" t="s">
        <v>33</v>
      </c>
      <c r="B1" s="17" t="s">
        <v>34</v>
      </c>
      <c r="C1" s="17" t="s">
        <v>35</v>
      </c>
      <c r="D1" s="21" t="s">
        <v>365</v>
      </c>
      <c r="E1" s="17" t="s">
        <v>366</v>
      </c>
      <c r="F1" s="18" t="s">
        <v>48</v>
      </c>
      <c r="H1" s="30" t="s">
        <v>367</v>
      </c>
      <c r="I1" s="30"/>
    </row>
    <row r="2" spans="1:9">
      <c r="A2" t="str" cm="1">
        <f t="array" ref="A2:A25">_xlfn._xlws.SORT(_xlfn.UNIQUE(FacturasTable[id_cliente]))</f>
        <v>CL-001</v>
      </c>
      <c r="B2" t="str">
        <f>IF($A2="","",_xlfn.XLOOKUP($A2,FacturasTable[id_cliente],FacturasTable[cliente],""))</f>
        <v>Altos del Centro S.R.L.</v>
      </c>
      <c r="C2" t="str">
        <f>IF($A2="","",_xlfn.XLOOKUP($A2,FacturasTable[id_cliente],FacturasTable[tipo_cliente],""))</f>
        <v>PyME servicios recurrentes</v>
      </c>
      <c r="D2" s="19">
        <f>IF($A2="","",_xlfn.XLOOKUP($A2,FacturasTable[id_cliente],FacturasTable[fecha_vencimiento],"")-_xlfn.XLOOKUP($A2,FacturasTable[id_cliente],FacturasTable[fecha_emision],""))</f>
        <v>15</v>
      </c>
      <c r="E2" t="str">
        <f>IF($A2="","",IF(AVERAGEIFS(FacturasTable[dias_atraso],FacturasTable[id_cliente],$A2,FacturasTable[dias_atraso],"&gt;0")&gt;30,"Atraso medio",IF(AVERAGEIFS(FacturasTable[dias_atraso],FacturasTable[id_cliente],$A2,FacturasTable[dias_atraso],"&gt;0")&gt;0,"Atraso leve","Paga en término")))</f>
        <v>Atraso leve</v>
      </c>
      <c r="F2" t="str">
        <f>IF($A2="","",_xlfn.XLOOKUP($A2,FacturasTable[id_cliente],FacturasTable[responsable],""))</f>
        <v>Carlos</v>
      </c>
    </row>
    <row r="3" spans="1:9" ht="13.9">
      <c r="A3" t="str">
        <v>CL-002</v>
      </c>
      <c r="B3" t="str">
        <f>IF($A3="","",_xlfn.XLOOKUP($A3,FacturasTable[id_cliente],FacturasTable[cliente],""))</f>
        <v>Andes Gestión S.A.</v>
      </c>
      <c r="C3" t="str">
        <f>IF($A3="","",_xlfn.XLOOKUP($A3,FacturasTable[id_cliente],FacturasTable[tipo_cliente],""))</f>
        <v>PyME servicios recurrentes</v>
      </c>
      <c r="D3" s="19">
        <f>IF($A3="","",_xlfn.XLOOKUP($A3,FacturasTable[id_cliente],FacturasTable[fecha_vencimiento],"")-_xlfn.XLOOKUP($A3,FacturasTable[id_cliente],FacturasTable[fecha_emision],""))</f>
        <v>30</v>
      </c>
      <c r="E3" t="str">
        <f>IF($A3="","",IF(AVERAGEIFS(FacturasTable[dias_atraso],FacturasTable[id_cliente],$A3,FacturasTable[dias_atraso],"&gt;0")&gt;30,"Atraso medio",IF(AVERAGEIFS(FacturasTable[dias_atraso],FacturasTable[id_cliente],$A3,FacturasTable[dias_atraso],"&gt;0")&gt;0,"Atraso leve","Paga en término")))</f>
        <v>Atraso leve</v>
      </c>
      <c r="F3" t="str">
        <f>IF($A3="","",_xlfn.XLOOKUP($A3,FacturasTable[id_cliente],FacturasTable[responsable],""))</f>
        <v>Matías</v>
      </c>
      <c r="H3" s="12" t="s">
        <v>368</v>
      </c>
      <c r="I3" s="13" t="s">
        <v>10</v>
      </c>
    </row>
    <row r="4" spans="1:9">
      <c r="A4" t="str">
        <v>CL-003</v>
      </c>
      <c r="B4" t="str">
        <f>IF($A4="","",_xlfn.XLOOKUP($A4,FacturasTable[id_cliente],FacturasTable[cliente],""))</f>
        <v>Arco Norte S.R.L.</v>
      </c>
      <c r="C4" t="str">
        <f>IF($A4="","",_xlfn.XLOOKUP($A4,FacturasTable[id_cliente],FacturasTable[tipo_cliente],""))</f>
        <v>PyME servicios recurrentes</v>
      </c>
      <c r="D4" s="19">
        <f>IF($A4="","",_xlfn.XLOOKUP($A4,FacturasTable[id_cliente],FacturasTable[fecha_vencimiento],"")-_xlfn.XLOOKUP($A4,FacturasTable[id_cliente],FacturasTable[fecha_emision],""))</f>
        <v>15</v>
      </c>
      <c r="E4" t="str">
        <f>IF($A4="","",IF(AVERAGEIFS(FacturasTable[dias_atraso],FacturasTable[id_cliente],$A4,FacturasTable[dias_atraso],"&gt;0")&gt;30,"Atraso medio",IF(AVERAGEIFS(FacturasTable[dias_atraso],FacturasTable[id_cliente],$A4,FacturasTable[dias_atraso],"&gt;0")&gt;0,"Atraso leve","Paga en término")))</f>
        <v>Atraso medio</v>
      </c>
      <c r="F4" t="str">
        <f>IF($A4="","",_xlfn.XLOOKUP($A4,FacturasTable[id_cliente],FacturasTable[responsable],""))</f>
        <v>Sofía</v>
      </c>
    </row>
    <row r="5" spans="1:9" ht="13.9">
      <c r="A5" t="str">
        <v>CL-004</v>
      </c>
      <c r="B5" t="str">
        <f>IF($A5="","",_xlfn.XLOOKUP($A5,FacturasTable[id_cliente],FacturasTable[cliente],""))</f>
        <v>Base Sur Servicios S.A.S.</v>
      </c>
      <c r="C5" t="str">
        <f>IF($A5="","",_xlfn.XLOOKUP($A5,FacturasTable[id_cliente],FacturasTable[tipo_cliente],""))</f>
        <v>PyME servicios recurrentes</v>
      </c>
      <c r="D5" s="19">
        <f>IF($A5="","",_xlfn.XLOOKUP($A5,FacturasTable[id_cliente],FacturasTable[fecha_vencimiento],"")-_xlfn.XLOOKUP($A5,FacturasTable[id_cliente],FacturasTable[fecha_emision],""))</f>
        <v>15</v>
      </c>
      <c r="E5" t="str">
        <f>IF($A5="","",IF(AVERAGEIFS(FacturasTable[dias_atraso],FacturasTable[id_cliente],$A5,FacturasTable[dias_atraso],"&gt;0")&gt;30,"Atraso medio",IF(AVERAGEIFS(FacturasTable[dias_atraso],FacturasTable[id_cliente],$A5,FacturasTable[dias_atraso],"&gt;0")&gt;0,"Atraso leve","Paga en término")))</f>
        <v>Atraso medio</v>
      </c>
      <c r="F5" t="str">
        <f>IF($A5="","",_xlfn.XLOOKUP($A5,FacturasTable[id_cliente],FacturasTable[responsable],""))</f>
        <v>Ana</v>
      </c>
      <c r="H5" s="14" t="s">
        <v>33</v>
      </c>
      <c r="I5" t="str">
        <f>IFERROR(_xlfn.XLOOKUP($I$3,$B$2:$B$999,$A$2:$A$999,""),"")</f>
        <v>CL-017</v>
      </c>
    </row>
    <row r="6" spans="1:9" ht="13.9">
      <c r="A6" t="str">
        <v>CL-005</v>
      </c>
      <c r="B6" t="str">
        <f>IF($A6="","",_xlfn.XLOOKUP($A6,FacturasTable[id_cliente],FacturasTable[cliente],""))</f>
        <v>Cerro Azul S.R.L.</v>
      </c>
      <c r="C6" t="str">
        <f>IF($A6="","",_xlfn.XLOOKUP($A6,FacturasTable[id_cliente],FacturasTable[tipo_cliente],""))</f>
        <v>PyME servicios recurrentes</v>
      </c>
      <c r="D6" s="19">
        <f>IF($A6="","",_xlfn.XLOOKUP($A6,FacturasTable[id_cliente],FacturasTable[fecha_vencimiento],"")-_xlfn.XLOOKUP($A6,FacturasTable[id_cliente],FacturasTable[fecha_emision],""))</f>
        <v>15</v>
      </c>
      <c r="E6" t="str">
        <f>IF($A6="","",IF(AVERAGEIFS(FacturasTable[dias_atraso],FacturasTable[id_cliente],$A6,FacturasTable[dias_atraso],"&gt;0")&gt;30,"Atraso medio",IF(AVERAGEIFS(FacturasTable[dias_atraso],FacturasTable[id_cliente],$A6,FacturasTable[dias_atraso],"&gt;0")&gt;0,"Atraso leve","Paga en término")))</f>
        <v>Atraso medio</v>
      </c>
      <c r="F6" t="str">
        <f>IF($A6="","",_xlfn.XLOOKUP($A6,FacturasTable[id_cliente],FacturasTable[responsable],""))</f>
        <v>Ana</v>
      </c>
      <c r="H6" s="14" t="s">
        <v>35</v>
      </c>
      <c r="I6" t="str">
        <f>IF($I$5="","",_xlfn.XLOOKUP($I$5,$A$2:$A$999,$C$2:$C$999,""))</f>
        <v>PyME servicios recurrentes</v>
      </c>
    </row>
    <row r="7" spans="1:9" ht="13.9">
      <c r="A7" t="str">
        <v>CL-006</v>
      </c>
      <c r="B7" t="str">
        <f>IF($A7="","",_xlfn.XLOOKUP($A7,FacturasTable[id_cliente],FacturasTable[cliente],""))</f>
        <v>Delta Gestión PyME S.A.</v>
      </c>
      <c r="C7" t="str">
        <f>IF($A7="","",_xlfn.XLOOKUP($A7,FacturasTable[id_cliente],FacturasTable[tipo_cliente],""))</f>
        <v>PyME servicios recurrentes</v>
      </c>
      <c r="D7" s="19">
        <f>IF($A7="","",_xlfn.XLOOKUP($A7,FacturasTable[id_cliente],FacturasTable[fecha_vencimiento],"")-_xlfn.XLOOKUP($A7,FacturasTable[id_cliente],FacturasTable[fecha_emision],""))</f>
        <v>60</v>
      </c>
      <c r="E7" t="str">
        <f>IF($A7="","",IF(AVERAGEIFS(FacturasTable[dias_atraso],FacturasTable[id_cliente],$A7,FacturasTable[dias_atraso],"&gt;0")&gt;30,"Atraso medio",IF(AVERAGEIFS(FacturasTable[dias_atraso],FacturasTable[id_cliente],$A7,FacturasTable[dias_atraso],"&gt;0")&gt;0,"Atraso leve","Paga en término")))</f>
        <v>Atraso medio</v>
      </c>
      <c r="F7" t="str">
        <f>IF($A7="","",_xlfn.XLOOKUP($A7,FacturasTable[id_cliente],FacturasTable[responsable],""))</f>
        <v>Ana</v>
      </c>
      <c r="H7" s="14" t="s">
        <v>48</v>
      </c>
      <c r="I7" t="str">
        <f>IF($I$5="","",_xlfn.XLOOKUP($I$5,$A$2:$A$999,$F$2:$F$999,""))</f>
        <v>Sofía</v>
      </c>
    </row>
    <row r="8" spans="1:9" ht="13.9">
      <c r="A8" t="str">
        <v>CL-007</v>
      </c>
      <c r="B8" t="str">
        <f>IF($A8="","",_xlfn.XLOOKUP($A8,FacturasTable[id_cliente],FacturasTable[cliente],""))</f>
        <v>Eje Comercial S.R.L.</v>
      </c>
      <c r="C8" t="str">
        <f>IF($A8="","",_xlfn.XLOOKUP($A8,FacturasTable[id_cliente],FacturasTable[tipo_cliente],""))</f>
        <v>PyME servicios recurrentes</v>
      </c>
      <c r="D8" s="19">
        <f>IF($A8="","",_xlfn.XLOOKUP($A8,FacturasTable[id_cliente],FacturasTable[fecha_vencimiento],"")-_xlfn.XLOOKUP($A8,FacturasTable[id_cliente],FacturasTable[fecha_emision],""))</f>
        <v>45</v>
      </c>
      <c r="E8" t="str">
        <f>IF($A8="","",IF(AVERAGEIFS(FacturasTable[dias_atraso],FacturasTable[id_cliente],$A8,FacturasTable[dias_atraso],"&gt;0")&gt;30,"Atraso medio",IF(AVERAGEIFS(FacturasTable[dias_atraso],FacturasTable[id_cliente],$A8,FacturasTable[dias_atraso],"&gt;0")&gt;0,"Atraso leve","Paga en término")))</f>
        <v>Atraso medio</v>
      </c>
      <c r="F8" t="str">
        <f>IF($A8="","",_xlfn.XLOOKUP($A8,FacturasTable[id_cliente],FacturasTable[responsable],""))</f>
        <v>Matías</v>
      </c>
      <c r="H8" s="14" t="s">
        <v>369</v>
      </c>
      <c r="I8">
        <f>IF($I$5="","",_xlfn.XLOOKUP($I$5,$A$2:$A$999,$D$2:$D$999,""))</f>
        <v>15</v>
      </c>
    </row>
    <row r="9" spans="1:9" ht="13.9">
      <c r="A9" t="str">
        <v>CL-008</v>
      </c>
      <c r="B9" t="str">
        <f>IF($A9="","",_xlfn.XLOOKUP($A9,FacturasTable[id_cliente],FacturasTable[cliente],""))</f>
        <v>Faro Administrativo S.A.S.</v>
      </c>
      <c r="C9" t="str">
        <f>IF($A9="","",_xlfn.XLOOKUP($A9,FacturasTable[id_cliente],FacturasTable[tipo_cliente],""))</f>
        <v>PyME servicios recurrentes</v>
      </c>
      <c r="D9" s="19">
        <f>IF($A9="","",_xlfn.XLOOKUP($A9,FacturasTable[id_cliente],FacturasTable[fecha_vencimiento],"")-_xlfn.XLOOKUP($A9,FacturasTable[id_cliente],FacturasTable[fecha_emision],""))</f>
        <v>30</v>
      </c>
      <c r="E9" t="str">
        <f>IF($A9="","",IF(AVERAGEIFS(FacturasTable[dias_atraso],FacturasTable[id_cliente],$A9,FacturasTable[dias_atraso],"&gt;0")&gt;30,"Atraso medio",IF(AVERAGEIFS(FacturasTable[dias_atraso],FacturasTable[id_cliente],$A9,FacturasTable[dias_atraso],"&gt;0")&gt;0,"Atraso leve","Paga en término")))</f>
        <v>Atraso medio</v>
      </c>
      <c r="F9" t="str">
        <f>IF($A9="","",_xlfn.XLOOKUP($A9,FacturasTable[id_cliente],FacturasTable[responsable],""))</f>
        <v>Sofía</v>
      </c>
      <c r="H9" s="14"/>
    </row>
    <row r="10" spans="1:9" ht="13.9">
      <c r="A10" t="str">
        <v>CL-009</v>
      </c>
      <c r="B10" t="str">
        <f>IF($A10="","",_xlfn.XLOOKUP($A10,FacturasTable[id_cliente],FacturasTable[cliente],""))</f>
        <v>Grupo Nexo PyME S.A.</v>
      </c>
      <c r="C10" t="str">
        <f>IF($A10="","",_xlfn.XLOOKUP($A10,FacturasTable[id_cliente],FacturasTable[tipo_cliente],""))</f>
        <v>PyME servicios recurrentes</v>
      </c>
      <c r="D10" s="19">
        <f>IF($A10="","",_xlfn.XLOOKUP($A10,FacturasTable[id_cliente],FacturasTable[fecha_vencimiento],"")-_xlfn.XLOOKUP($A10,FacturasTable[id_cliente],FacturasTable[fecha_emision],""))</f>
        <v>30</v>
      </c>
      <c r="E10" t="str">
        <f>IF($A10="","",IF(AVERAGEIFS(FacturasTable[dias_atraso],FacturasTable[id_cliente],$A10,FacturasTable[dias_atraso],"&gt;0")&gt;30,"Atraso medio",IF(AVERAGEIFS(FacturasTable[dias_atraso],FacturasTable[id_cliente],$A10,FacturasTable[dias_atraso],"&gt;0")&gt;0,"Atraso leve","Paga en término")))</f>
        <v>Atraso medio</v>
      </c>
      <c r="F10" t="str">
        <f>IF($A10="","",_xlfn.XLOOKUP($A10,FacturasTable[id_cliente],FacturasTable[responsable],""))</f>
        <v>Ana</v>
      </c>
      <c r="H10" s="14" t="s">
        <v>370</v>
      </c>
      <c r="I10" s="15">
        <f>IF($I$5="","",SUMIFS(FacturasTable[importe_equivalente_ars],FacturasTable[id_cliente],$I$5))</f>
        <v>14633600</v>
      </c>
    </row>
    <row r="11" spans="1:9" ht="13.9">
      <c r="A11" t="str">
        <v>CL-010</v>
      </c>
      <c r="B11" t="str">
        <f>IF($A11="","",_xlfn.XLOOKUP($A11,FacturasTable[id_cliente],FacturasTable[cliente],""))</f>
        <v>Horizonte Servicios S.R.L.</v>
      </c>
      <c r="C11" t="str">
        <f>IF($A11="","",_xlfn.XLOOKUP($A11,FacturasTable[id_cliente],FacturasTable[tipo_cliente],""))</f>
        <v>PyME servicios recurrentes</v>
      </c>
      <c r="D11" s="19">
        <f>IF($A11="","",_xlfn.XLOOKUP($A11,FacturasTable[id_cliente],FacturasTable[fecha_vencimiento],"")-_xlfn.XLOOKUP($A11,FacturasTable[id_cliente],FacturasTable[fecha_emision],""))</f>
        <v>45</v>
      </c>
      <c r="E11" t="str">
        <f>IF($A11="","",IF(AVERAGEIFS(FacturasTable[dias_atraso],FacturasTable[id_cliente],$A11,FacturasTable[dias_atraso],"&gt;0")&gt;30,"Atraso medio",IF(AVERAGEIFS(FacturasTable[dias_atraso],FacturasTable[id_cliente],$A11,FacturasTable[dias_atraso],"&gt;0")&gt;0,"Atraso leve","Paga en término")))</f>
        <v>Atraso medio</v>
      </c>
      <c r="F11" t="str">
        <f>IF($A11="","",_xlfn.XLOOKUP($A11,FacturasTable[id_cliente],FacturasTable[responsable],""))</f>
        <v>Matías</v>
      </c>
      <c r="H11" s="14" t="s">
        <v>371</v>
      </c>
      <c r="I11" s="15">
        <f>IF($I$5="","",$I$10-$I$12)</f>
        <v>6753833.1299999999</v>
      </c>
    </row>
    <row r="12" spans="1:9" ht="13.9">
      <c r="A12" t="str">
        <v>CL-011</v>
      </c>
      <c r="B12" t="str">
        <f>IF($A12="","",_xlfn.XLOOKUP($A12,FacturasTable[id_cliente],FacturasTable[cliente],""))</f>
        <v>Impulso Gestión S.A.S.</v>
      </c>
      <c r="C12" t="str">
        <f>IF($A12="","",_xlfn.XLOOKUP($A12,FacturasTable[id_cliente],FacturasTable[tipo_cliente],""))</f>
        <v>PyME servicios recurrentes</v>
      </c>
      <c r="D12" s="19">
        <f>IF($A12="","",_xlfn.XLOOKUP($A12,FacturasTable[id_cliente],FacturasTable[fecha_vencimiento],"")-_xlfn.XLOOKUP($A12,FacturasTable[id_cliente],FacturasTable[fecha_emision],""))</f>
        <v>15</v>
      </c>
      <c r="E12" t="str">
        <f>IF($A12="","",IF(AVERAGEIFS(FacturasTable[dias_atraso],FacturasTable[id_cliente],$A12,FacturasTable[dias_atraso],"&gt;0")&gt;30,"Atraso medio",IF(AVERAGEIFS(FacturasTable[dias_atraso],FacturasTable[id_cliente],$A12,FacturasTable[dias_atraso],"&gt;0")&gt;0,"Atraso leve","Paga en término")))</f>
        <v>Atraso medio</v>
      </c>
      <c r="F12" t="str">
        <f>IF($A12="","",_xlfn.XLOOKUP($A12,FacturasTable[id_cliente],FacturasTable[responsable],""))</f>
        <v>Carlos</v>
      </c>
      <c r="H12" s="14" t="s">
        <v>372</v>
      </c>
      <c r="I12" s="15">
        <f>IF($I$5="","",SUMIFS(FacturasTable[saldo_equivalente_ars],FacturasTable[id_cliente],$I$5))</f>
        <v>7879766.8700000001</v>
      </c>
    </row>
    <row r="13" spans="1:9" ht="13.9">
      <c r="A13" t="str">
        <v>CL-012</v>
      </c>
      <c r="B13" t="str">
        <f>IF($A13="","",_xlfn.XLOOKUP($A13,FacturasTable[id_cliente],FacturasTable[cliente],""))</f>
        <v>Litoral Soluciones S.R.L.</v>
      </c>
      <c r="C13" t="str">
        <f>IF($A13="","",_xlfn.XLOOKUP($A13,FacturasTable[id_cliente],FacturasTable[tipo_cliente],""))</f>
        <v>PyME servicios recurrentes</v>
      </c>
      <c r="D13" s="19">
        <f>IF($A13="","",_xlfn.XLOOKUP($A13,FacturasTable[id_cliente],FacturasTable[fecha_vencimiento],"")-_xlfn.XLOOKUP($A13,FacturasTable[id_cliente],FacturasTable[fecha_emision],""))</f>
        <v>45</v>
      </c>
      <c r="E13" t="str">
        <f>IF($A13="","",IF(AVERAGEIFS(FacturasTable[dias_atraso],FacturasTable[id_cliente],$A13,FacturasTable[dias_atraso],"&gt;0")&gt;30,"Atraso medio",IF(AVERAGEIFS(FacturasTable[dias_atraso],FacturasTable[id_cliente],$A13,FacturasTable[dias_atraso],"&gt;0")&gt;0,"Atraso leve","Paga en término")))</f>
        <v>Atraso medio</v>
      </c>
      <c r="F13" t="str">
        <f>IF($A13="","",_xlfn.XLOOKUP($A13,FacturasTable[id_cliente],FacturasTable[responsable],""))</f>
        <v>Matías</v>
      </c>
      <c r="H13" s="14" t="s">
        <v>373</v>
      </c>
      <c r="I13" s="15">
        <f>IF($I$5="","",SUMIFS(FacturasTable[saldo_pendiente],FacturasTable[id_cliente],$I$5,FacturasTable[moneda],"USD"))</f>
        <v>4361.87</v>
      </c>
    </row>
    <row r="14" spans="1:9" ht="13.9">
      <c r="A14" t="str">
        <v>CL-013</v>
      </c>
      <c r="B14" t="str">
        <f>IF($A14="","",_xlfn.XLOOKUP($A14,FacturasTable[id_cliente],FacturasTable[cliente],""))</f>
        <v>Mercurio PyME S.A.</v>
      </c>
      <c r="C14" t="str">
        <f>IF($A14="","",_xlfn.XLOOKUP($A14,FacturasTable[id_cliente],FacturasTable[tipo_cliente],""))</f>
        <v>PyME servicios recurrentes</v>
      </c>
      <c r="D14" s="19">
        <f>IF($A14="","",_xlfn.XLOOKUP($A14,FacturasTable[id_cliente],FacturasTable[fecha_vencimiento],"")-_xlfn.XLOOKUP($A14,FacturasTable[id_cliente],FacturasTable[fecha_emision],""))</f>
        <v>15</v>
      </c>
      <c r="E14" t="str">
        <f>IF($A14="","",IF(AVERAGEIFS(FacturasTable[dias_atraso],FacturasTable[id_cliente],$A14,FacturasTable[dias_atraso],"&gt;0")&gt;30,"Atraso medio",IF(AVERAGEIFS(FacturasTable[dias_atraso],FacturasTable[id_cliente],$A14,FacturasTable[dias_atraso],"&gt;0")&gt;0,"Atraso leve","Paga en término")))</f>
        <v>Atraso medio</v>
      </c>
      <c r="F14" t="str">
        <f>IF($A14="","",_xlfn.XLOOKUP($A14,FacturasTable[id_cliente],FacturasTable[responsable],""))</f>
        <v>Sofía</v>
      </c>
      <c r="H14" s="14" t="s">
        <v>374</v>
      </c>
      <c r="I14" s="5">
        <f>IF($I$5="","",COUNTIFS(FacturasTable[id_cliente],$I$5,FacturasTable[saldo_pendiente],"&gt;0"))</f>
        <v>5</v>
      </c>
    </row>
    <row r="15" spans="1:9" ht="13.9">
      <c r="A15" t="str">
        <v>CL-014</v>
      </c>
      <c r="B15" t="str">
        <f>IF($A15="","",_xlfn.XLOOKUP($A15,FacturasTable[id_cliente],FacturasTable[cliente],""))</f>
        <v>Norte Gestión Integral S.R.L.</v>
      </c>
      <c r="C15" t="str">
        <f>IF($A15="","",_xlfn.XLOOKUP($A15,FacturasTable[id_cliente],FacturasTable[tipo_cliente],""))</f>
        <v>PyME servicios recurrentes</v>
      </c>
      <c r="D15" s="19">
        <f>IF($A15="","",_xlfn.XLOOKUP($A15,FacturasTable[id_cliente],FacturasTable[fecha_vencimiento],"")-_xlfn.XLOOKUP($A15,FacturasTable[id_cliente],FacturasTable[fecha_emision],""))</f>
        <v>45</v>
      </c>
      <c r="E15" t="str">
        <f>IF($A15="","",IF(AVERAGEIFS(FacturasTable[dias_atraso],FacturasTable[id_cliente],$A15,FacturasTable[dias_atraso],"&gt;0")&gt;30,"Atraso medio",IF(AVERAGEIFS(FacturasTable[dias_atraso],FacturasTable[id_cliente],$A15,FacturasTable[dias_atraso],"&gt;0")&gt;0,"Atraso leve","Paga en término")))</f>
        <v>Atraso medio</v>
      </c>
      <c r="F15" t="str">
        <f>IF($A15="","",_xlfn.XLOOKUP($A15,FacturasTable[id_cliente],FacturasTable[responsable],""))</f>
        <v>Carlos</v>
      </c>
      <c r="H15" s="14" t="s">
        <v>375</v>
      </c>
      <c r="I15" s="5">
        <f>IF($I$5="","",COUNTIFS(FacturasTable[id_cliente],$I$5,FacturasTable[vencida_si_no],"Sí"))</f>
        <v>4</v>
      </c>
    </row>
    <row r="16" spans="1:9" ht="13.9">
      <c r="A16" t="str">
        <v>CL-015</v>
      </c>
      <c r="B16" t="str">
        <f>IF($A16="","",_xlfn.XLOOKUP($A16,FacturasTable[id_cliente],FacturasTable[cliente],""))</f>
        <v>Órbita Servicios S.A.S.</v>
      </c>
      <c r="C16" t="str">
        <f>IF($A16="","",_xlfn.XLOOKUP($A16,FacturasTable[id_cliente],FacturasTable[tipo_cliente],""))</f>
        <v>PyME servicios recurrentes</v>
      </c>
      <c r="D16" s="19">
        <f>IF($A16="","",_xlfn.XLOOKUP($A16,FacturasTable[id_cliente],FacturasTable[fecha_vencimiento],"")-_xlfn.XLOOKUP($A16,FacturasTable[id_cliente],FacturasTable[fecha_emision],""))</f>
        <v>15</v>
      </c>
      <c r="E16" t="str">
        <f>IF($A16="","",IF(AVERAGEIFS(FacturasTable[dias_atraso],FacturasTable[id_cliente],$A16,FacturasTable[dias_atraso],"&gt;0")&gt;30,"Atraso medio",IF(AVERAGEIFS(FacturasTable[dias_atraso],FacturasTable[id_cliente],$A16,FacturasTable[dias_atraso],"&gt;0")&gt;0,"Atraso leve","Paga en término")))</f>
        <v>Atraso leve</v>
      </c>
      <c r="F16" t="str">
        <f>IF($A16="","",_xlfn.XLOOKUP($A16,FacturasTable[id_cliente],FacturasTable[responsable],""))</f>
        <v>Matías</v>
      </c>
      <c r="H16" s="14" t="s">
        <v>376</v>
      </c>
      <c r="I16" s="5">
        <f>IFERROR(AVERAGEIFS(FacturasTable[dias_atraso],FacturasTable[id_cliente],$I$5,FacturasTable[dias_atraso],"&gt;0"),0)</f>
        <v>67.909090909090907</v>
      </c>
    </row>
    <row r="17" spans="1:9" ht="13.9">
      <c r="A17" t="str">
        <v>CL-016</v>
      </c>
      <c r="B17" t="str">
        <f>IF($A17="","",_xlfn.XLOOKUP($A17,FacturasTable[id_cliente],FacturasTable[cliente],""))</f>
        <v>Patagonia Gestión S.R.L.</v>
      </c>
      <c r="C17" t="str">
        <f>IF($A17="","",_xlfn.XLOOKUP($A17,FacturasTable[id_cliente],FacturasTable[tipo_cliente],""))</f>
        <v>PyME servicios recurrentes</v>
      </c>
      <c r="D17" s="19">
        <f>IF($A17="","",_xlfn.XLOOKUP($A17,FacturasTable[id_cliente],FacturasTable[fecha_vencimiento],"")-_xlfn.XLOOKUP($A17,FacturasTable[id_cliente],FacturasTable[fecha_emision],""))</f>
        <v>45</v>
      </c>
      <c r="E17" t="str">
        <f>IF($A17="","",IF(AVERAGEIFS(FacturasTable[dias_atraso],FacturasTable[id_cliente],$A17,FacturasTable[dias_atraso],"&gt;0")&gt;30,"Atraso medio",IF(AVERAGEIFS(FacturasTable[dias_atraso],FacturasTable[id_cliente],$A17,FacturasTable[dias_atraso],"&gt;0")&gt;0,"Atraso leve","Paga en término")))</f>
        <v>Atraso medio</v>
      </c>
      <c r="F17" t="str">
        <f>IF($A17="","",_xlfn.XLOOKUP($A17,FacturasTable[id_cliente],FacturasTable[responsable],""))</f>
        <v>Matías</v>
      </c>
      <c r="H17" s="14" t="s">
        <v>377</v>
      </c>
      <c r="I17" s="20">
        <f>IF($I$5="","",_xlfn.MAXIFS(FacturasTable[fecha_emision],FacturasTable[id_cliente],$I$5))</f>
        <v>46204</v>
      </c>
    </row>
    <row r="18" spans="1:9" ht="13.9">
      <c r="A18" t="str">
        <v>CL-017</v>
      </c>
      <c r="B18" t="str">
        <f>IF($A18="","",_xlfn.XLOOKUP($A18,FacturasTable[id_cliente],FacturasTable[cliente],""))</f>
        <v>Punto Sur S.A.</v>
      </c>
      <c r="C18" t="str">
        <f>IF($A18="","",_xlfn.XLOOKUP($A18,FacturasTable[id_cliente],FacturasTable[tipo_cliente],""))</f>
        <v>PyME servicios recurrentes</v>
      </c>
      <c r="D18" s="19">
        <f>IF($A18="","",_xlfn.XLOOKUP($A18,FacturasTable[id_cliente],FacturasTable[fecha_vencimiento],"")-_xlfn.XLOOKUP($A18,FacturasTable[id_cliente],FacturasTable[fecha_emision],""))</f>
        <v>15</v>
      </c>
      <c r="E18" t="str">
        <f>IF($A18="","",IF(AVERAGEIFS(FacturasTable[dias_atraso],FacturasTable[id_cliente],$A18,FacturasTable[dias_atraso],"&gt;0")&gt;30,"Atraso medio",IF(AVERAGEIFS(FacturasTable[dias_atraso],FacturasTable[id_cliente],$A18,FacturasTable[dias_atraso],"&gt;0")&gt;0,"Atraso leve","Paga en término")))</f>
        <v>Atraso medio</v>
      </c>
      <c r="F18" t="str">
        <f>IF($A18="","",_xlfn.XLOOKUP($A18,FacturasTable[id_cliente],FacturasTable[responsable],""))</f>
        <v>Sofía</v>
      </c>
      <c r="H18" s="14" t="s">
        <v>378</v>
      </c>
      <c r="I18" s="3" t="s">
        <v>105</v>
      </c>
    </row>
    <row r="19" spans="1:9" ht="13.9">
      <c r="A19" t="str">
        <v>CL-018</v>
      </c>
      <c r="B19" t="str">
        <f>IF($A19="","",_xlfn.XLOOKUP($A19,FacturasTable[id_cliente],FacturasTable[cliente],""))</f>
        <v>Río Claro Servicios S.R.L.</v>
      </c>
      <c r="C19" t="str">
        <f>IF($A19="","",_xlfn.XLOOKUP($A19,FacturasTable[id_cliente],FacturasTable[tipo_cliente],""))</f>
        <v>PyME servicios recurrentes</v>
      </c>
      <c r="D19" s="19">
        <f>IF($A19="","",_xlfn.XLOOKUP($A19,FacturasTable[id_cliente],FacturasTable[fecha_vencimiento],"")-_xlfn.XLOOKUP($A19,FacturasTable[id_cliente],FacturasTable[fecha_emision],""))</f>
        <v>45</v>
      </c>
      <c r="E19" t="str">
        <f>IF($A19="","",IF(AVERAGEIFS(FacturasTable[dias_atraso],FacturasTable[id_cliente],$A19,FacturasTable[dias_atraso],"&gt;0")&gt;30,"Atraso medio",IF(AVERAGEIFS(FacturasTable[dias_atraso],FacturasTable[id_cliente],$A19,FacturasTable[dias_atraso],"&gt;0")&gt;0,"Atraso leve","Paga en término")))</f>
        <v>Atraso leve</v>
      </c>
      <c r="F19" t="str">
        <f>IF($A19="","",_xlfn.XLOOKUP($A19,FacturasTable[id_cliente],FacturasTable[responsable],""))</f>
        <v>Ana</v>
      </c>
      <c r="H19" s="14" t="s">
        <v>379</v>
      </c>
      <c r="I19" s="20">
        <f>IFERROR(_xlfn.MINIFS(Facturas!$C$2:$C$237,Facturas!$E$2:$E$237,$I$5,Facturas!$M$2:$M$237,"&gt;0"),"")</f>
        <v>46001</v>
      </c>
    </row>
    <row r="20" spans="1:9" ht="13.9">
      <c r="A20" t="str">
        <v>CL-019</v>
      </c>
      <c r="B20" t="str">
        <f>IF($A20="","",_xlfn.XLOOKUP($A20,FacturasTable[id_cliente],FacturasTable[cliente],""))</f>
        <v>Sierra Norte S.A.S.</v>
      </c>
      <c r="C20" t="str">
        <f>IF($A20="","",_xlfn.XLOOKUP($A20,FacturasTable[id_cliente],FacturasTable[tipo_cliente],""))</f>
        <v>PyME servicios recurrentes</v>
      </c>
      <c r="D20" s="19">
        <f>IF($A20="","",_xlfn.XLOOKUP($A20,FacturasTable[id_cliente],FacturasTable[fecha_vencimiento],"")-_xlfn.XLOOKUP($A20,FacturasTable[id_cliente],FacturasTable[fecha_emision],""))</f>
        <v>30</v>
      </c>
      <c r="E20" t="str">
        <f>IF($A20="","",IF(AVERAGEIFS(FacturasTable[dias_atraso],FacturasTable[id_cliente],$A20,FacturasTable[dias_atraso],"&gt;0")&gt;30,"Atraso medio",IF(AVERAGEIFS(FacturasTable[dias_atraso],FacturasTable[id_cliente],$A20,FacturasTable[dias_atraso],"&gt;0")&gt;0,"Atraso leve","Paga en término")))</f>
        <v>Atraso medio</v>
      </c>
      <c r="F20" t="str">
        <f>IF($A20="","",_xlfn.XLOOKUP($A20,FacturasTable[id_cliente],FacturasTable[responsable],""))</f>
        <v>Carlos</v>
      </c>
      <c r="H20" s="14" t="s">
        <v>380</v>
      </c>
      <c r="I20" t="str">
        <f>IF($I$12&gt;0,"Sí","No")</f>
        <v>Sí</v>
      </c>
    </row>
    <row r="21" spans="1:9">
      <c r="A21" t="str">
        <v>CL-020</v>
      </c>
      <c r="B21" t="str">
        <f>IF($A21="","",_xlfn.XLOOKUP($A21,FacturasTable[id_cliente],FacturasTable[cliente],""))</f>
        <v>Tango Gestión S.R.L.</v>
      </c>
      <c r="C21" t="str">
        <f>IF($A21="","",_xlfn.XLOOKUP($A21,FacturasTable[id_cliente],FacturasTable[tipo_cliente],""))</f>
        <v>PyME servicios recurrentes</v>
      </c>
      <c r="D21" s="19">
        <f>IF($A21="","",_xlfn.XLOOKUP($A21,FacturasTable[id_cliente],FacturasTable[fecha_vencimiento],"")-_xlfn.XLOOKUP($A21,FacturasTable[id_cliente],FacturasTable[fecha_emision],""))</f>
        <v>15</v>
      </c>
      <c r="E21" t="str">
        <f>IF($A21="","",IF(AVERAGEIFS(FacturasTable[dias_atraso],FacturasTable[id_cliente],$A21,FacturasTable[dias_atraso],"&gt;0")&gt;30,"Atraso medio",IF(AVERAGEIFS(FacturasTable[dias_atraso],FacturasTable[id_cliente],$A21,FacturasTable[dias_atraso],"&gt;0")&gt;0,"Atraso leve","Paga en término")))</f>
        <v>Atraso medio</v>
      </c>
      <c r="F21" t="str">
        <f>IF($A21="","",_xlfn.XLOOKUP($A21,FacturasTable[id_cliente],FacturasTable[responsable],""))</f>
        <v>Ana</v>
      </c>
    </row>
    <row r="22" spans="1:9">
      <c r="A22" t="str">
        <v>CL-021</v>
      </c>
      <c r="B22" t="str">
        <f>IF($A22="","",_xlfn.XLOOKUP($A22,FacturasTable[id_cliente],FacturasTable[cliente],""))</f>
        <v>Unión PyME Servicios S.A.</v>
      </c>
      <c r="C22" t="str">
        <f>IF($A22="","",_xlfn.XLOOKUP($A22,FacturasTable[id_cliente],FacturasTable[tipo_cliente],""))</f>
        <v>PyME servicios recurrentes</v>
      </c>
      <c r="D22" s="19">
        <f>IF($A22="","",_xlfn.XLOOKUP($A22,FacturasTable[id_cliente],FacturasTable[fecha_vencimiento],"")-_xlfn.XLOOKUP($A22,FacturasTable[id_cliente],FacturasTable[fecha_emision],""))</f>
        <v>30</v>
      </c>
      <c r="E22" t="str">
        <f>IF($A22="","",IF(AVERAGEIFS(FacturasTable[dias_atraso],FacturasTable[id_cliente],$A22,FacturasTable[dias_atraso],"&gt;0")&gt;30,"Atraso medio",IF(AVERAGEIFS(FacturasTable[dias_atraso],FacturasTable[id_cliente],$A22,FacturasTable[dias_atraso],"&gt;0")&gt;0,"Atraso leve","Paga en término")))</f>
        <v>Atraso medio</v>
      </c>
      <c r="F22" t="str">
        <f>IF($A22="","",_xlfn.XLOOKUP($A22,FacturasTable[id_cliente],FacturasTable[responsable],""))</f>
        <v>Ana</v>
      </c>
    </row>
    <row r="23" spans="1:9">
      <c r="A23" t="str">
        <v>CL-022</v>
      </c>
      <c r="B23" t="str">
        <f>IF($A23="","",_xlfn.XLOOKUP($A23,FacturasTable[id_cliente],FacturasTable[cliente],""))</f>
        <v>Valle Operativo S.R.L.</v>
      </c>
      <c r="C23" t="str">
        <f>IF($A23="","",_xlfn.XLOOKUP($A23,FacturasTable[id_cliente],FacturasTable[tipo_cliente],""))</f>
        <v>PyME servicios recurrentes</v>
      </c>
      <c r="D23" s="19">
        <f>IF($A23="","",_xlfn.XLOOKUP($A23,FacturasTable[id_cliente],FacturasTable[fecha_vencimiento],"")-_xlfn.XLOOKUP($A23,FacturasTable[id_cliente],FacturasTable[fecha_emision],""))</f>
        <v>45</v>
      </c>
      <c r="E23" t="str">
        <f>IF($A23="","",IF(AVERAGEIFS(FacturasTable[dias_atraso],FacturasTable[id_cliente],$A23,FacturasTable[dias_atraso],"&gt;0")&gt;30,"Atraso medio",IF(AVERAGEIFS(FacturasTable[dias_atraso],FacturasTable[id_cliente],$A23,FacturasTable[dias_atraso],"&gt;0")&gt;0,"Atraso leve","Paga en término")))</f>
        <v>Atraso medio</v>
      </c>
      <c r="F23" t="str">
        <f>IF($A23="","",_xlfn.XLOOKUP($A23,FacturasTable[id_cliente],FacturasTable[responsable],""))</f>
        <v>Ana</v>
      </c>
    </row>
    <row r="24" spans="1:9">
      <c r="A24" t="str">
        <v>CL-023</v>
      </c>
      <c r="B24" t="str">
        <f>IF($A24="","",_xlfn.XLOOKUP($A24,FacturasTable[id_cliente],FacturasTable[cliente],""))</f>
        <v>Vector Administración S.A.S.</v>
      </c>
      <c r="C24" t="str">
        <f>IF($A24="","",_xlfn.XLOOKUP($A24,FacturasTable[id_cliente],FacturasTable[tipo_cliente],""))</f>
        <v>PyME servicios recurrentes</v>
      </c>
      <c r="D24" s="19">
        <f>IF($A24="","",_xlfn.XLOOKUP($A24,FacturasTable[id_cliente],FacturasTable[fecha_vencimiento],"")-_xlfn.XLOOKUP($A24,FacturasTable[id_cliente],FacturasTable[fecha_emision],""))</f>
        <v>15</v>
      </c>
      <c r="E24" t="str">
        <f>IF($A24="","",IF(AVERAGEIFS(FacturasTable[dias_atraso],FacturasTable[id_cliente],$A24,FacturasTable[dias_atraso],"&gt;0")&gt;30,"Atraso medio",IF(AVERAGEIFS(FacturasTable[dias_atraso],FacturasTable[id_cliente],$A24,FacturasTable[dias_atraso],"&gt;0")&gt;0,"Atraso leve","Paga en término")))</f>
        <v>Atraso medio</v>
      </c>
      <c r="F24" t="str">
        <f>IF($A24="","",_xlfn.XLOOKUP($A24,FacturasTable[id_cliente],FacturasTable[responsable],""))</f>
        <v>Ana</v>
      </c>
    </row>
    <row r="25" spans="1:9">
      <c r="A25" t="str">
        <v>CL-024</v>
      </c>
      <c r="B25" t="str">
        <f>IF($A25="","",_xlfn.XLOOKUP($A25,FacturasTable[id_cliente],FacturasTable[cliente],""))</f>
        <v>Zonda Gestión S.R.L.</v>
      </c>
      <c r="C25" t="str">
        <f>IF($A25="","",_xlfn.XLOOKUP($A25,FacturasTable[id_cliente],FacturasTable[tipo_cliente],""))</f>
        <v>PyME servicios recurrentes</v>
      </c>
      <c r="D25" s="19">
        <f>IF($A25="","",_xlfn.XLOOKUP($A25,FacturasTable[id_cliente],FacturasTable[fecha_vencimiento],"")-_xlfn.XLOOKUP($A25,FacturasTable[id_cliente],FacturasTable[fecha_emision],""))</f>
        <v>45</v>
      </c>
      <c r="E25" t="str">
        <f>IF($A25="","",IF(AVERAGEIFS(FacturasTable[dias_atraso],FacturasTable[id_cliente],$A25,FacturasTable[dias_atraso],"&gt;0")&gt;30,"Atraso medio",IF(AVERAGEIFS(FacturasTable[dias_atraso],FacturasTable[id_cliente],$A25,FacturasTable[dias_atraso],"&gt;0")&gt;0,"Atraso leve","Paga en término")))</f>
        <v>Atraso medio</v>
      </c>
      <c r="F25" t="str">
        <f>IF($A25="","",_xlfn.XLOOKUP($A25,FacturasTable[id_cliente],FacturasTable[responsable],""))</f>
        <v>Sofía</v>
      </c>
    </row>
    <row r="26" spans="1:9">
      <c r="B26" t="str">
        <f>IF($A26="","",_xlfn.XLOOKUP($A26,FacturasTable[id_cliente],FacturasTable[cliente],""))</f>
        <v/>
      </c>
      <c r="C26" t="str">
        <f>IF($A26="","",_xlfn.XLOOKUP($A26,FacturasTable[id_cliente],FacturasTable[tipo_cliente],""))</f>
        <v/>
      </c>
      <c r="D26" s="19" t="str">
        <f>IF($A26="","",_xlfn.XLOOKUP($A26,FacturasTable[id_cliente],FacturasTable[fecha_vencimiento],"")-_xlfn.XLOOKUP($A26,FacturasTable[id_cliente],FacturasTable[fecha_emision],""))</f>
        <v/>
      </c>
      <c r="E26" t="str">
        <f>IF($A26="","",IF(AVERAGEIFS(FacturasTable[dias_atraso],FacturasTable[id_cliente],$A26,FacturasTable[dias_atraso],"&gt;0")&gt;30,"Atraso medio",IF(AVERAGEIFS(FacturasTable[dias_atraso],FacturasTable[id_cliente],$A26,FacturasTable[dias_atraso],"&gt;0")&gt;0,"Atraso leve","Paga en término")))</f>
        <v/>
      </c>
      <c r="F26" t="str">
        <f>IF($A26="","",_xlfn.XLOOKUP($A26,FacturasTable[id_cliente],FacturasTable[responsable],""))</f>
        <v/>
      </c>
    </row>
    <row r="27" spans="1:9">
      <c r="B27" t="str">
        <f>IF($A27="","",_xlfn.XLOOKUP($A27,FacturasTable[id_cliente],FacturasTable[cliente],""))</f>
        <v/>
      </c>
      <c r="C27" t="str">
        <f>IF($A27="","",_xlfn.XLOOKUP($A27,FacturasTable[id_cliente],FacturasTable[tipo_cliente],""))</f>
        <v/>
      </c>
      <c r="D27" s="19" t="str">
        <f>IF($A27="","",_xlfn.XLOOKUP($A27,FacturasTable[id_cliente],FacturasTable[fecha_vencimiento],"")-_xlfn.XLOOKUP($A27,FacturasTable[id_cliente],FacturasTable[fecha_emision],""))</f>
        <v/>
      </c>
      <c r="E27" t="str">
        <f>IF($A27="","",IF(AVERAGEIFS(FacturasTable[dias_atraso],FacturasTable[id_cliente],$A27,FacturasTable[dias_atraso],"&gt;0")&gt;30,"Atraso medio",IF(AVERAGEIFS(FacturasTable[dias_atraso],FacturasTable[id_cliente],$A27,FacturasTable[dias_atraso],"&gt;0")&gt;0,"Atraso leve","Paga en término")))</f>
        <v/>
      </c>
      <c r="F27" t="str">
        <f>IF($A27="","",_xlfn.XLOOKUP($A27,FacturasTable[id_cliente],FacturasTable[responsable],""))</f>
        <v/>
      </c>
    </row>
    <row r="28" spans="1:9">
      <c r="B28" t="str">
        <f>IF($A28="","",_xlfn.XLOOKUP($A28,FacturasTable[id_cliente],FacturasTable[cliente],""))</f>
        <v/>
      </c>
      <c r="C28" t="str">
        <f>IF($A28="","",_xlfn.XLOOKUP($A28,FacturasTable[id_cliente],FacturasTable[tipo_cliente],""))</f>
        <v/>
      </c>
      <c r="D28" s="19" t="str">
        <f>IF($A28="","",_xlfn.XLOOKUP($A28,FacturasTable[id_cliente],FacturasTable[fecha_vencimiento],"")-_xlfn.XLOOKUP($A28,FacturasTable[id_cliente],FacturasTable[fecha_emision],""))</f>
        <v/>
      </c>
      <c r="E28" t="str">
        <f>IF($A28="","",IF(AVERAGEIFS(FacturasTable[dias_atraso],FacturasTable[id_cliente],$A28,FacturasTable[dias_atraso],"&gt;0")&gt;30,"Atraso medio",IF(AVERAGEIFS(FacturasTable[dias_atraso],FacturasTable[id_cliente],$A28,FacturasTable[dias_atraso],"&gt;0")&gt;0,"Atraso leve","Paga en término")))</f>
        <v/>
      </c>
      <c r="F28" t="str">
        <f>IF($A28="","",_xlfn.XLOOKUP($A28,FacturasTable[id_cliente],FacturasTable[responsable],""))</f>
        <v/>
      </c>
    </row>
    <row r="54" spans="4:4">
      <c r="D54" s="19"/>
    </row>
    <row r="55" spans="4:4">
      <c r="D55" s="19"/>
    </row>
    <row r="56" spans="4:4">
      <c r="D56" s="19"/>
    </row>
    <row r="57" spans="4:4">
      <c r="D57" s="19"/>
    </row>
    <row r="58" spans="4:4">
      <c r="D58" s="19"/>
    </row>
    <row r="59" spans="4:4">
      <c r="D59" s="19"/>
    </row>
    <row r="60" spans="4:4">
      <c r="D60" s="19"/>
    </row>
  </sheetData>
  <mergeCells count="1">
    <mergeCell ref="H1:I1"/>
  </mergeCells>
  <conditionalFormatting sqref="I12">
    <cfRule type="cellIs" dxfId="1" priority="1" operator="greaterThan">
      <formula>0</formula>
    </cfRule>
  </conditionalFormatting>
  <conditionalFormatting sqref="I20">
    <cfRule type="expression" dxfId="0" priority="2">
      <formula>I20="Sí"</formula>
    </cfRule>
  </conditionalFormatting>
  <dataValidations disablePrompts="1" count="1">
    <dataValidation type="list" sqref="I3" xr:uid="{00000000-0002-0000-0200-000000000000}">
      <formula1>$B$2:$B$25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8"/>
  <sheetViews>
    <sheetView workbookViewId="0">
      <selection activeCell="B5" sqref="B5"/>
    </sheetView>
  </sheetViews>
  <sheetFormatPr baseColWidth="10" defaultColWidth="9" defaultRowHeight="13.5"/>
  <cols>
    <col min="1" max="1" width="10.625" bestFit="1" customWidth="1"/>
    <col min="2" max="2" width="30.75" bestFit="1" customWidth="1"/>
    <col min="3" max="3" width="16.875" customWidth="1"/>
    <col min="4" max="4" width="9.125" customWidth="1"/>
    <col min="5" max="5" width="21.375" bestFit="1" customWidth="1"/>
    <col min="6" max="6" width="22.875" bestFit="1" customWidth="1"/>
    <col min="7" max="7" width="21.375" bestFit="1" customWidth="1"/>
    <col min="8" max="8" width="18.25" bestFit="1" customWidth="1"/>
  </cols>
  <sheetData>
    <row r="1" spans="1:8" ht="13.9">
      <c r="A1" s="11" t="s">
        <v>36</v>
      </c>
      <c r="B1" s="11" t="s">
        <v>37</v>
      </c>
      <c r="C1" s="11" t="s">
        <v>381</v>
      </c>
      <c r="D1" s="11" t="s">
        <v>382</v>
      </c>
      <c r="E1" s="11" t="s">
        <v>370</v>
      </c>
      <c r="F1" s="11" t="s">
        <v>372</v>
      </c>
      <c r="G1" s="11" t="s">
        <v>383</v>
      </c>
      <c r="H1" s="11" t="s">
        <v>384</v>
      </c>
    </row>
    <row r="2" spans="1:8">
      <c r="A2" t="str" cm="1">
        <f t="array" ref="A2:A6">_xlfn._xlws.SORT(_xlfn.UNIQUE(FacturasTable[id_servicio]))</f>
        <v>SRV-001</v>
      </c>
      <c r="B2" t="str">
        <f>IF($A2="","",_xlfn.XLOOKUP($A2,FacturasTable[id_servicio],FacturasTable[tipo_servicio],""))</f>
        <v>Abono mensual administrativo</v>
      </c>
      <c r="C2" t="str">
        <f>IF($A2="","",IF(COUNTIFS(FacturasTable[id_servicio],$A2,FacturasTable[moneda],"USD")&gt;=COUNTIFS(FacturasTable[id_servicio],$A2,FacturasTable[moneda],"ARS"),"USD","ARS"))</f>
        <v>ARS</v>
      </c>
      <c r="D2" s="5">
        <f>IF($A2="","",COUNTIFS(FacturasTable[id_servicio],$A2))</f>
        <v>94</v>
      </c>
      <c r="E2" s="15">
        <f>IF($A2="","",SUMIFS(FacturasTable[importe_equivalente_ars],FacturasTable[id_servicio],$A2))</f>
        <v>63387650</v>
      </c>
      <c r="F2" s="15">
        <f>IF($A2="","",SUMIFS(FacturasTable[saldo_equivalente_ars],FacturasTable[id_servicio],$A2))</f>
        <v>21398214.900000002</v>
      </c>
      <c r="G2" s="15">
        <f>IF($A2="","",SUMIFS(FacturasTable[importe_facturado],FacturasTable[id_servicio],$A2,FacturasTable[moneda],"USD"))</f>
        <v>7500</v>
      </c>
      <c r="H2" t="str">
        <f t="shared" ref="H2:H18" si="0">IF($A2="","",IF($F2&gt;0,"Con deuda pendiente","Sin deuda pendiente"))</f>
        <v>Con deuda pendiente</v>
      </c>
    </row>
    <row r="3" spans="1:8">
      <c r="A3" t="str">
        <v>SRV-002</v>
      </c>
      <c r="B3" t="str">
        <f>IF($A3="","",_xlfn.XLOOKUP($A3,FacturasTable[id_servicio],FacturasTable[tipo_servicio],""))</f>
        <v>Soporte operativo</v>
      </c>
      <c r="C3" t="str">
        <f>IF($A3="","",IF(COUNTIFS(FacturasTable[id_servicio],$A3,FacturasTable[moneda],"USD")&gt;=COUNTIFS(FacturasTable[id_servicio],$A3,FacturasTable[moneda],"ARS"),"USD","ARS"))</f>
        <v>ARS</v>
      </c>
      <c r="D3" s="5">
        <f>IF($A3="","",COUNTIFS(FacturasTable[id_servicio],$A3))</f>
        <v>61</v>
      </c>
      <c r="E3" s="15">
        <f>IF($A3="","",SUMIFS(FacturasTable[importe_equivalente_ars],FacturasTable[id_servicio],$A3))</f>
        <v>39052450</v>
      </c>
      <c r="F3" s="15">
        <f>IF($A3="","",SUMIFS(FacturasTable[saldo_equivalente_ars],FacturasTable[id_servicio],$A3))</f>
        <v>16881335.329999998</v>
      </c>
      <c r="G3" s="15">
        <f>IF($A3="","",SUMIFS(FacturasTable[importe_facturado],FacturasTable[id_servicio],$A3,FacturasTable[moneda],"USD"))</f>
        <v>9100</v>
      </c>
      <c r="H3" t="str">
        <f t="shared" si="0"/>
        <v>Con deuda pendiente</v>
      </c>
    </row>
    <row r="4" spans="1:8">
      <c r="A4" t="str">
        <v>SRV-003</v>
      </c>
      <c r="B4" t="str">
        <f>IF($A4="","",_xlfn.XLOOKUP($A4,FacturasTable[id_servicio],FacturasTable[tipo_servicio],""))</f>
        <v>Consultoría de gestión</v>
      </c>
      <c r="C4" t="str">
        <f>IF($A4="","",IF(COUNTIFS(FacturasTable[id_servicio],$A4,FacturasTable[moneda],"USD")&gt;=COUNTIFS(FacturasTable[id_servicio],$A4,FacturasTable[moneda],"ARS"),"USD","ARS"))</f>
        <v>USD</v>
      </c>
      <c r="D4" s="5">
        <f>IF($A4="","",COUNTIFS(FacturasTable[id_servicio],$A4))</f>
        <v>34</v>
      </c>
      <c r="E4" s="15">
        <f>IF($A4="","",SUMIFS(FacturasTable[importe_equivalente_ars],FacturasTable[id_servicio],$A4))</f>
        <v>76559200</v>
      </c>
      <c r="F4" s="15">
        <f>IF($A4="","",SUMIFS(FacturasTable[saldo_equivalente_ars],FacturasTable[id_servicio],$A4))</f>
        <v>25909845.75</v>
      </c>
      <c r="G4" s="15">
        <f>IF($A4="","",SUMIFS(FacturasTable[importe_facturado],FacturasTable[id_servicio],$A4,FacturasTable[moneda],"USD"))</f>
        <v>45450</v>
      </c>
      <c r="H4" t="str">
        <f t="shared" si="0"/>
        <v>Con deuda pendiente</v>
      </c>
    </row>
    <row r="5" spans="1:8">
      <c r="A5" t="str">
        <v>SRV-004</v>
      </c>
      <c r="B5" t="str">
        <f>IF($A5="","",_xlfn.XLOOKUP($A5,FacturasTable[id_servicio],FacturasTable[tipo_servicio],""))</f>
        <v>Reporte mensual / tablero de control</v>
      </c>
      <c r="C5" t="str">
        <f>IF($A5="","",IF(COUNTIFS(FacturasTable[id_servicio],$A5,FacturasTable[moneda],"USD")&gt;=COUNTIFS(FacturasTable[id_servicio],$A5,FacturasTable[moneda],"ARS"),"USD","ARS"))</f>
        <v>USD</v>
      </c>
      <c r="D5" s="5">
        <f>IF($A5="","",COUNTIFS(FacturasTable[id_servicio],$A5))</f>
        <v>25</v>
      </c>
      <c r="E5" s="15">
        <f>IF($A5="","",SUMIFS(FacturasTable[importe_equivalente_ars],FacturasTable[id_servicio],$A5))</f>
        <v>36734700</v>
      </c>
      <c r="F5" s="15">
        <f>IF($A5="","",SUMIFS(FacturasTable[saldo_equivalente_ars],FacturasTable[id_servicio],$A5))</f>
        <v>18498355.57</v>
      </c>
      <c r="G5" s="15">
        <f>IF($A5="","",SUMIFS(FacturasTable[importe_facturado],FacturasTable[id_servicio],$A5,FacturasTable[moneda],"USD"))</f>
        <v>22950</v>
      </c>
      <c r="H5" t="str">
        <f t="shared" si="0"/>
        <v>Con deuda pendiente</v>
      </c>
    </row>
    <row r="6" spans="1:8">
      <c r="A6" t="str">
        <v>SRV-005</v>
      </c>
      <c r="B6" t="str">
        <f>IF($A6="","",_xlfn.XLOOKUP($A6,FacturasTable[id_servicio],FacturasTable[tipo_servicio],""))</f>
        <v>Servicio extraordinario puntual</v>
      </c>
      <c r="C6" t="str">
        <f>IF($A6="","",IF(COUNTIFS(FacturasTable[id_servicio],$A6,FacturasTable[moneda],"USD")&gt;=COUNTIFS(FacturasTable[id_servicio],$A6,FacturasTable[moneda],"ARS"),"USD","ARS"))</f>
        <v>ARS</v>
      </c>
      <c r="D6" s="5">
        <f>IF($A6="","",COUNTIFS(FacturasTable[id_servicio],$A6))</f>
        <v>22</v>
      </c>
      <c r="E6" s="15">
        <f>IF($A6="","",SUMIFS(FacturasTable[importe_equivalente_ars],FacturasTable[id_servicio],$A6))</f>
        <v>17672000</v>
      </c>
      <c r="F6" s="15">
        <f>IF($A6="","",SUMIFS(FacturasTable[saldo_equivalente_ars],FacturasTable[id_servicio],$A6))</f>
        <v>3991721.5</v>
      </c>
      <c r="G6" s="15">
        <f>IF($A6="","",SUMIFS(FacturasTable[importe_facturado],FacturasTable[id_servicio],$A6,FacturasTable[moneda],"USD"))</f>
        <v>0</v>
      </c>
      <c r="H6" t="str">
        <f t="shared" si="0"/>
        <v>Con deuda pendiente</v>
      </c>
    </row>
    <row r="7" spans="1:8">
      <c r="B7" t="str">
        <f>IF($A7="","",_xlfn.XLOOKUP($A7,FacturasTable[id_servicio],FacturasTable[tipo_servicio],""))</f>
        <v/>
      </c>
      <c r="C7" t="str">
        <f>IF($A7="","",IF(COUNTIFS(FacturasTable[id_servicio],$A7,FacturasTable[moneda],"USD")&gt;=COUNTIFS(FacturasTable[id_servicio],$A7,FacturasTable[moneda],"ARS"),"USD","ARS"))</f>
        <v/>
      </c>
      <c r="D7" s="5" t="str">
        <f>IF($A7="","",COUNTIFS(FacturasTable[id_servicio],$A7))</f>
        <v/>
      </c>
      <c r="E7" s="15" t="str">
        <f>IF($A7="","",SUMIFS(FacturasTable[importe_equivalente_ars],FacturasTable[id_servicio],$A7))</f>
        <v/>
      </c>
      <c r="F7" s="15" t="str">
        <f>IF($A7="","",SUMIFS(FacturasTable[saldo_equivalente_ars],FacturasTable[id_servicio],$A7))</f>
        <v/>
      </c>
      <c r="G7" s="15" t="str">
        <f>IF($A7="","",SUMIFS(FacturasTable[importe_facturado],FacturasTable[id_servicio],$A7,FacturasTable[moneda],"USD"))</f>
        <v/>
      </c>
      <c r="H7" t="str">
        <f t="shared" si="0"/>
        <v/>
      </c>
    </row>
    <row r="8" spans="1:8">
      <c r="B8" t="str">
        <f>IF($A8="","",_xlfn.XLOOKUP($A8,FacturasTable[id_servicio],FacturasTable[tipo_servicio],""))</f>
        <v/>
      </c>
      <c r="C8" t="str">
        <f>IF($A8="","",IF(COUNTIFS(FacturasTable[id_servicio],$A8,FacturasTable[moneda],"USD")&gt;=COUNTIFS(FacturasTable[id_servicio],$A8,FacturasTable[moneda],"ARS"),"USD","ARS"))</f>
        <v/>
      </c>
      <c r="D8" s="5" t="str">
        <f>IF($A8="","",COUNTIFS(FacturasTable[id_servicio],$A8))</f>
        <v/>
      </c>
      <c r="E8" s="15" t="str">
        <f>IF($A8="","",SUMIFS(FacturasTable[importe_equivalente_ars],FacturasTable[id_servicio],$A8))</f>
        <v/>
      </c>
      <c r="F8" s="15" t="str">
        <f>IF($A8="","",SUMIFS(FacturasTable[saldo_equivalente_ars],FacturasTable[id_servicio],$A8))</f>
        <v/>
      </c>
      <c r="G8" s="15" t="str">
        <f>IF($A8="","",SUMIFS(FacturasTable[importe_facturado],FacturasTable[id_servicio],$A8,FacturasTable[moneda],"USD"))</f>
        <v/>
      </c>
      <c r="H8" t="str">
        <f t="shared" si="0"/>
        <v/>
      </c>
    </row>
    <row r="9" spans="1:8">
      <c r="B9" t="str">
        <f>IF($A9="","",_xlfn.XLOOKUP($A9,FacturasTable[id_servicio],FacturasTable[tipo_servicio],""))</f>
        <v/>
      </c>
      <c r="C9" t="str">
        <f>IF($A9="","",IF(COUNTIFS(FacturasTable[id_servicio],$A9,FacturasTable[moneda],"USD")&gt;=COUNTIFS(FacturasTable[id_servicio],$A9,FacturasTable[moneda],"ARS"),"USD","ARS"))</f>
        <v/>
      </c>
      <c r="D9" s="5" t="str">
        <f>IF($A9="","",COUNTIFS(FacturasTable[id_servicio],$A9))</f>
        <v/>
      </c>
      <c r="E9" s="15" t="str">
        <f>IF($A9="","",SUMIFS(FacturasTable[importe_equivalente_ars],FacturasTable[id_servicio],$A9))</f>
        <v/>
      </c>
      <c r="F9" s="15" t="str">
        <f>IF($A9="","",SUMIFS(FacturasTable[saldo_equivalente_ars],FacturasTable[id_servicio],$A9))</f>
        <v/>
      </c>
      <c r="G9" s="15" t="str">
        <f>IF($A9="","",SUMIFS(FacturasTable[importe_facturado],FacturasTable[id_servicio],$A9,FacturasTable[moneda],"USD"))</f>
        <v/>
      </c>
      <c r="H9" t="str">
        <f t="shared" si="0"/>
        <v/>
      </c>
    </row>
    <row r="10" spans="1:8">
      <c r="B10" t="str">
        <f>IF($A10="","",_xlfn.XLOOKUP($A10,FacturasTable[id_servicio],FacturasTable[tipo_servicio],""))</f>
        <v/>
      </c>
      <c r="C10" t="str">
        <f>IF($A10="","",IF(COUNTIFS(FacturasTable[id_servicio],$A10,FacturasTable[moneda],"USD")&gt;=COUNTIFS(FacturasTable[id_servicio],$A10,FacturasTable[moneda],"ARS"),"USD","ARS"))</f>
        <v/>
      </c>
      <c r="D10" s="5" t="str">
        <f>IF($A10="","",COUNTIFS(FacturasTable[id_servicio],$A10))</f>
        <v/>
      </c>
      <c r="E10" s="15" t="str">
        <f>IF($A10="","",SUMIFS(FacturasTable[importe_equivalente_ars],FacturasTable[id_servicio],$A10))</f>
        <v/>
      </c>
      <c r="F10" s="15" t="str">
        <f>IF($A10="","",SUMIFS(FacturasTable[saldo_equivalente_ars],FacturasTable[id_servicio],$A10))</f>
        <v/>
      </c>
      <c r="G10" s="15" t="str">
        <f>IF($A10="","",SUMIFS(FacturasTable[importe_facturado],FacturasTable[id_servicio],$A10,FacturasTable[moneda],"USD"))</f>
        <v/>
      </c>
      <c r="H10" t="str">
        <f t="shared" si="0"/>
        <v/>
      </c>
    </row>
    <row r="11" spans="1:8">
      <c r="B11" t="str">
        <f>IF($A11="","",_xlfn.XLOOKUP($A11,FacturasTable[id_servicio],FacturasTable[tipo_servicio],""))</f>
        <v/>
      </c>
      <c r="C11" t="str">
        <f>IF($A11="","",IF(COUNTIFS(FacturasTable[id_servicio],$A11,FacturasTable[moneda],"USD")&gt;=COUNTIFS(FacturasTable[id_servicio],$A11,FacturasTable[moneda],"ARS"),"USD","ARS"))</f>
        <v/>
      </c>
      <c r="D11" s="5" t="str">
        <f>IF($A11="","",COUNTIFS(FacturasTable[id_servicio],$A11))</f>
        <v/>
      </c>
      <c r="E11" s="15" t="str">
        <f>IF($A11="","",SUMIFS(FacturasTable[importe_equivalente_ars],FacturasTable[id_servicio],$A11))</f>
        <v/>
      </c>
      <c r="F11" s="15" t="str">
        <f>IF($A11="","",SUMIFS(FacturasTable[saldo_equivalente_ars],FacturasTable[id_servicio],$A11))</f>
        <v/>
      </c>
      <c r="G11" s="15" t="str">
        <f>IF($A11="","",SUMIFS(FacturasTable[importe_facturado],FacturasTable[id_servicio],$A11,FacturasTable[moneda],"USD"))</f>
        <v/>
      </c>
      <c r="H11" t="str">
        <f t="shared" si="0"/>
        <v/>
      </c>
    </row>
    <row r="12" spans="1:8">
      <c r="B12" t="str">
        <f>IF($A12="","",_xlfn.XLOOKUP($A12,FacturasTable[id_servicio],FacturasTable[tipo_servicio],""))</f>
        <v/>
      </c>
      <c r="C12" t="str">
        <f>IF($A12="","",IF(COUNTIFS(FacturasTable[id_servicio],$A12,FacturasTable[moneda],"USD")&gt;=COUNTIFS(FacturasTable[id_servicio],$A12,FacturasTable[moneda],"ARS"),"USD","ARS"))</f>
        <v/>
      </c>
      <c r="D12" s="5" t="str">
        <f>IF($A12="","",COUNTIFS(FacturasTable[id_servicio],$A12))</f>
        <v/>
      </c>
      <c r="E12" s="15" t="str">
        <f>IF($A12="","",SUMIFS(FacturasTable[importe_equivalente_ars],FacturasTable[id_servicio],$A12))</f>
        <v/>
      </c>
      <c r="F12" s="15" t="str">
        <f>IF($A12="","",SUMIFS(FacturasTable[saldo_equivalente_ars],FacturasTable[id_servicio],$A12))</f>
        <v/>
      </c>
      <c r="G12" s="15" t="str">
        <f>IF($A12="","",SUMIFS(FacturasTable[importe_facturado],FacturasTable[id_servicio],$A12,FacturasTable[moneda],"USD"))</f>
        <v/>
      </c>
      <c r="H12" t="str">
        <f t="shared" si="0"/>
        <v/>
      </c>
    </row>
    <row r="13" spans="1:8">
      <c r="B13" t="str">
        <f>IF($A13="","",_xlfn.XLOOKUP($A13,FacturasTable[id_servicio],FacturasTable[tipo_servicio],""))</f>
        <v/>
      </c>
      <c r="C13" t="str">
        <f>IF($A13="","",IF(COUNTIFS(FacturasTable[id_servicio],$A13,FacturasTable[moneda],"USD")&gt;=COUNTIFS(FacturasTable[id_servicio],$A13,FacturasTable[moneda],"ARS"),"USD","ARS"))</f>
        <v/>
      </c>
      <c r="D13" s="5" t="str">
        <f>IF($A13="","",COUNTIFS(FacturasTable[id_servicio],$A13))</f>
        <v/>
      </c>
      <c r="E13" s="15" t="str">
        <f>IF($A13="","",SUMIFS(FacturasTable[importe_equivalente_ars],FacturasTable[id_servicio],$A13))</f>
        <v/>
      </c>
      <c r="F13" s="15" t="str">
        <f>IF($A13="","",SUMIFS(FacturasTable[saldo_equivalente_ars],FacturasTable[id_servicio],$A13))</f>
        <v/>
      </c>
      <c r="G13" s="15" t="str">
        <f>IF($A13="","",SUMIFS(FacturasTable[importe_facturado],FacturasTable[id_servicio],$A13,FacturasTable[moneda],"USD"))</f>
        <v/>
      </c>
      <c r="H13" t="str">
        <f t="shared" si="0"/>
        <v/>
      </c>
    </row>
    <row r="14" spans="1:8">
      <c r="B14" t="str">
        <f>IF($A14="","",_xlfn.XLOOKUP($A14,FacturasTable[id_servicio],FacturasTable[tipo_servicio],""))</f>
        <v/>
      </c>
      <c r="C14" t="str">
        <f>IF($A14="","",IF(COUNTIFS(FacturasTable[id_servicio],$A14,FacturasTable[moneda],"USD")&gt;=COUNTIFS(FacturasTable[id_servicio],$A14,FacturasTable[moneda],"ARS"),"USD","ARS"))</f>
        <v/>
      </c>
      <c r="D14" s="5" t="str">
        <f>IF($A14="","",COUNTIFS(FacturasTable[id_servicio],$A14))</f>
        <v/>
      </c>
      <c r="E14" s="15" t="str">
        <f>IF($A14="","",SUMIFS(FacturasTable[importe_equivalente_ars],FacturasTable[id_servicio],$A14))</f>
        <v/>
      </c>
      <c r="F14" s="15" t="str">
        <f>IF($A14="","",SUMIFS(FacturasTable[saldo_equivalente_ars],FacturasTable[id_servicio],$A14))</f>
        <v/>
      </c>
      <c r="G14" s="15" t="str">
        <f>IF($A14="","",SUMIFS(FacturasTable[importe_facturado],FacturasTable[id_servicio],$A14,FacturasTable[moneda],"USD"))</f>
        <v/>
      </c>
      <c r="H14" t="str">
        <f t="shared" si="0"/>
        <v/>
      </c>
    </row>
    <row r="15" spans="1:8">
      <c r="B15" t="str">
        <f>IF($A15="","",_xlfn.XLOOKUP($A15,FacturasTable[id_servicio],FacturasTable[tipo_servicio],""))</f>
        <v/>
      </c>
      <c r="C15" t="str">
        <f>IF($A15="","",IF(COUNTIFS(FacturasTable[id_servicio],$A15,FacturasTable[moneda],"USD")&gt;=COUNTIFS(FacturasTable[id_servicio],$A15,FacturasTable[moneda],"ARS"),"USD","ARS"))</f>
        <v/>
      </c>
      <c r="D15" s="5" t="str">
        <f>IF($A15="","",COUNTIFS(FacturasTable[id_servicio],$A15))</f>
        <v/>
      </c>
      <c r="E15" s="15" t="str">
        <f>IF($A15="","",SUMIFS(FacturasTable[importe_equivalente_ars],FacturasTable[id_servicio],$A15))</f>
        <v/>
      </c>
      <c r="F15" s="15" t="str">
        <f>IF($A15="","",SUMIFS(FacturasTable[saldo_equivalente_ars],FacturasTable[id_servicio],$A15))</f>
        <v/>
      </c>
      <c r="G15" s="15" t="str">
        <f>IF($A15="","",SUMIFS(FacturasTable[importe_facturado],FacturasTable[id_servicio],$A15,FacturasTable[moneda],"USD"))</f>
        <v/>
      </c>
      <c r="H15" t="str">
        <f t="shared" si="0"/>
        <v/>
      </c>
    </row>
    <row r="16" spans="1:8">
      <c r="B16" t="str">
        <f>IF($A16="","",_xlfn.XLOOKUP($A16,FacturasTable[id_servicio],FacturasTable[tipo_servicio],""))</f>
        <v/>
      </c>
      <c r="C16" t="str">
        <f>IF($A16="","",IF(COUNTIFS(FacturasTable[id_servicio],$A16,FacturasTable[moneda],"USD")&gt;=COUNTIFS(FacturasTable[id_servicio],$A16,FacturasTable[moneda],"ARS"),"USD","ARS"))</f>
        <v/>
      </c>
      <c r="D16" s="5" t="str">
        <f>IF($A16="","",COUNTIFS(FacturasTable[id_servicio],$A16))</f>
        <v/>
      </c>
      <c r="E16" s="15" t="str">
        <f>IF($A16="","",SUMIFS(FacturasTable[importe_equivalente_ars],FacturasTable[id_servicio],$A16))</f>
        <v/>
      </c>
      <c r="F16" s="15" t="str">
        <f>IF($A16="","",SUMIFS(FacturasTable[saldo_equivalente_ars],FacturasTable[id_servicio],$A16))</f>
        <v/>
      </c>
      <c r="G16" s="15" t="str">
        <f>IF($A16="","",SUMIFS(FacturasTable[importe_facturado],FacturasTable[id_servicio],$A16,FacturasTable[moneda],"USD"))</f>
        <v/>
      </c>
      <c r="H16" t="str">
        <f t="shared" si="0"/>
        <v/>
      </c>
    </row>
    <row r="17" spans="2:8">
      <c r="B17" t="str">
        <f>IF($A17="","",_xlfn.XLOOKUP($A17,FacturasTable[id_servicio],FacturasTable[tipo_servicio],""))</f>
        <v/>
      </c>
      <c r="C17" t="str">
        <f>IF($A17="","",IF(COUNTIFS(FacturasTable[id_servicio],$A17,FacturasTable[moneda],"USD")&gt;=COUNTIFS(FacturasTable[id_servicio],$A17,FacturasTable[moneda],"ARS"),"USD","ARS"))</f>
        <v/>
      </c>
      <c r="D17" s="5" t="str">
        <f>IF($A17="","",COUNTIFS(FacturasTable[id_servicio],$A17))</f>
        <v/>
      </c>
      <c r="E17" s="15" t="str">
        <f>IF($A17="","",SUMIFS(FacturasTable[importe_equivalente_ars],FacturasTable[id_servicio],$A17))</f>
        <v/>
      </c>
      <c r="F17" s="15" t="str">
        <f>IF($A17="","",SUMIFS(FacturasTable[saldo_equivalente_ars],FacturasTable[id_servicio],$A17))</f>
        <v/>
      </c>
      <c r="G17" s="15" t="str">
        <f>IF($A17="","",SUMIFS(FacturasTable[importe_facturado],FacturasTable[id_servicio],$A17,FacturasTable[moneda],"USD"))</f>
        <v/>
      </c>
      <c r="H17" t="str">
        <f t="shared" si="0"/>
        <v/>
      </c>
    </row>
    <row r="18" spans="2:8">
      <c r="B18" t="str">
        <f>IF($A18="","",_xlfn.XLOOKUP($A18,FacturasTable[id_servicio],FacturasTable[tipo_servicio],""))</f>
        <v/>
      </c>
      <c r="C18" t="str">
        <f>IF($A18="","",IF(COUNTIFS(FacturasTable[id_servicio],$A18,FacturasTable[moneda],"USD")&gt;=COUNTIFS(FacturasTable[id_servicio],$A18,FacturasTable[moneda],"ARS"),"USD","ARS"))</f>
        <v/>
      </c>
      <c r="D18" s="5" t="str">
        <f>IF($A18="","",COUNTIFS(FacturasTable[id_servicio],$A18))</f>
        <v/>
      </c>
      <c r="E18" s="15" t="str">
        <f>IF($A18="","",SUMIFS(FacturasTable[importe_equivalente_ars],FacturasTable[id_servicio],$A18))</f>
        <v/>
      </c>
      <c r="F18" s="15" t="str">
        <f>IF($A18="","",SUMIFS(FacturasTable[saldo_equivalente_ars],FacturasTable[id_servicio],$A18))</f>
        <v/>
      </c>
      <c r="G18" s="15" t="str">
        <f>IF($A18="","",SUMIFS(FacturasTable[importe_facturado],FacturasTable[id_servicio],$A18,FacturasTable[moneda],"USD"))</f>
        <v/>
      </c>
      <c r="H18" t="str">
        <f t="shared" si="0"/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3"/>
  <sheetViews>
    <sheetView workbookViewId="0">
      <selection activeCell="C11" sqref="C11"/>
    </sheetView>
  </sheetViews>
  <sheetFormatPr baseColWidth="10" defaultColWidth="9" defaultRowHeight="13.5"/>
  <cols>
    <col min="1" max="1" width="14" customWidth="1"/>
    <col min="2" max="2" width="22" customWidth="1"/>
    <col min="3" max="3" width="36" customWidth="1"/>
  </cols>
  <sheetData>
    <row r="1" spans="1:3" ht="13.9">
      <c r="A1" s="6" t="s">
        <v>385</v>
      </c>
      <c r="B1" s="6" t="s">
        <v>386</v>
      </c>
      <c r="C1" s="6" t="s">
        <v>387</v>
      </c>
    </row>
    <row r="2" spans="1:3">
      <c r="A2" s="7">
        <v>45870</v>
      </c>
      <c r="B2" s="4">
        <v>1297</v>
      </c>
      <c r="C2" t="s">
        <v>388</v>
      </c>
    </row>
    <row r="3" spans="1:3">
      <c r="A3" s="7">
        <v>45901</v>
      </c>
      <c r="B3" s="4">
        <v>1330</v>
      </c>
      <c r="C3" t="s">
        <v>388</v>
      </c>
    </row>
    <row r="4" spans="1:3">
      <c r="A4" s="7">
        <v>45931</v>
      </c>
      <c r="B4" s="4">
        <v>1354</v>
      </c>
      <c r="C4" t="s">
        <v>388</v>
      </c>
    </row>
    <row r="5" spans="1:3">
      <c r="A5" s="7">
        <v>45962</v>
      </c>
      <c r="B5" s="4">
        <v>1398</v>
      </c>
      <c r="C5" t="s">
        <v>388</v>
      </c>
    </row>
    <row r="6" spans="1:3">
      <c r="A6" s="7">
        <v>45992</v>
      </c>
      <c r="B6" s="4">
        <v>1436</v>
      </c>
      <c r="C6" t="s">
        <v>388</v>
      </c>
    </row>
    <row r="7" spans="1:3">
      <c r="A7" s="7">
        <v>46023</v>
      </c>
      <c r="B7" s="4">
        <v>1457</v>
      </c>
      <c r="C7" t="s">
        <v>388</v>
      </c>
    </row>
    <row r="8" spans="1:3">
      <c r="A8" s="7">
        <v>46054</v>
      </c>
      <c r="B8" s="4">
        <v>1501</v>
      </c>
      <c r="C8" t="s">
        <v>388</v>
      </c>
    </row>
    <row r="9" spans="1:3">
      <c r="A9" s="7">
        <v>46082</v>
      </c>
      <c r="B9" s="4">
        <v>1554</v>
      </c>
      <c r="C9" t="s">
        <v>388</v>
      </c>
    </row>
    <row r="10" spans="1:3">
      <c r="A10" s="7">
        <v>46113</v>
      </c>
      <c r="B10" s="4">
        <v>1600</v>
      </c>
      <c r="C10" t="s">
        <v>388</v>
      </c>
    </row>
    <row r="11" spans="1:3">
      <c r="A11" s="7">
        <v>46143</v>
      </c>
      <c r="B11" s="4">
        <v>1653</v>
      </c>
      <c r="C11" t="s">
        <v>388</v>
      </c>
    </row>
    <row r="12" spans="1:3">
      <c r="A12" s="7">
        <v>46174</v>
      </c>
      <c r="B12" s="4">
        <v>1669</v>
      </c>
      <c r="C12" t="s">
        <v>388</v>
      </c>
    </row>
    <row r="13" spans="1:3">
      <c r="A13" s="7">
        <v>46204</v>
      </c>
      <c r="B13" s="4">
        <v>1716</v>
      </c>
      <c r="C13" t="s">
        <v>388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0"/>
  <sheetViews>
    <sheetView workbookViewId="0"/>
  </sheetViews>
  <sheetFormatPr baseColWidth="10" defaultColWidth="9" defaultRowHeight="13.5"/>
  <cols>
    <col min="1" max="1" width="26" customWidth="1"/>
    <col min="2" max="2" width="60" customWidth="1"/>
    <col min="3" max="3" width="22" customWidth="1"/>
  </cols>
  <sheetData>
    <row r="1" spans="1:3" ht="13.9">
      <c r="A1" s="1" t="s">
        <v>389</v>
      </c>
      <c r="B1" s="1" t="s">
        <v>390</v>
      </c>
      <c r="C1" s="1" t="s">
        <v>391</v>
      </c>
    </row>
    <row r="2" spans="1:3">
      <c r="A2" s="9" t="s">
        <v>29</v>
      </c>
      <c r="B2" s="9" t="s">
        <v>392</v>
      </c>
      <c r="C2" s="9" t="s">
        <v>393</v>
      </c>
    </row>
    <row r="3" spans="1:3">
      <c r="A3" s="9" t="s">
        <v>30</v>
      </c>
      <c r="B3" s="9" t="s">
        <v>394</v>
      </c>
      <c r="C3" s="9" t="s">
        <v>395</v>
      </c>
    </row>
    <row r="4" spans="1:3">
      <c r="A4" s="9" t="s">
        <v>31</v>
      </c>
      <c r="B4" s="9" t="s">
        <v>396</v>
      </c>
      <c r="C4" s="9" t="s">
        <v>395</v>
      </c>
    </row>
    <row r="5" spans="1:3">
      <c r="A5" s="9" t="s">
        <v>32</v>
      </c>
      <c r="B5" s="9" t="s">
        <v>397</v>
      </c>
      <c r="C5" s="9" t="s">
        <v>395</v>
      </c>
    </row>
    <row r="6" spans="1:3">
      <c r="A6" s="9" t="s">
        <v>34</v>
      </c>
      <c r="B6" s="9" t="s">
        <v>398</v>
      </c>
      <c r="C6" s="9" t="s">
        <v>393</v>
      </c>
    </row>
    <row r="7" spans="1:3">
      <c r="A7" s="9" t="s">
        <v>37</v>
      </c>
      <c r="B7" s="9" t="s">
        <v>399</v>
      </c>
      <c r="C7" s="9" t="s">
        <v>400</v>
      </c>
    </row>
    <row r="8" spans="1:3">
      <c r="A8" s="9" t="s">
        <v>38</v>
      </c>
      <c r="B8" s="9" t="s">
        <v>401</v>
      </c>
      <c r="C8" s="9" t="s">
        <v>402</v>
      </c>
    </row>
    <row r="9" spans="1:3">
      <c r="A9" s="9" t="s">
        <v>39</v>
      </c>
      <c r="B9" s="9" t="s">
        <v>403</v>
      </c>
      <c r="C9" s="9" t="s">
        <v>404</v>
      </c>
    </row>
    <row r="10" spans="1:3">
      <c r="A10" s="9" t="s">
        <v>40</v>
      </c>
      <c r="B10" s="9" t="s">
        <v>405</v>
      </c>
      <c r="C10" s="9" t="s">
        <v>404</v>
      </c>
    </row>
    <row r="11" spans="1:3">
      <c r="A11" s="9" t="s">
        <v>41</v>
      </c>
      <c r="B11" s="9" t="s">
        <v>406</v>
      </c>
      <c r="C11" s="9" t="s">
        <v>407</v>
      </c>
    </row>
    <row r="12" spans="1:3">
      <c r="A12" s="9" t="s">
        <v>42</v>
      </c>
      <c r="B12" s="9" t="s">
        <v>408</v>
      </c>
      <c r="C12" s="9" t="s">
        <v>404</v>
      </c>
    </row>
    <row r="13" spans="1:3">
      <c r="A13" s="9" t="s">
        <v>43</v>
      </c>
      <c r="B13" s="9" t="s">
        <v>409</v>
      </c>
      <c r="C13" s="9" t="s">
        <v>407</v>
      </c>
    </row>
    <row r="14" spans="1:3">
      <c r="A14" s="9" t="s">
        <v>44</v>
      </c>
      <c r="B14" s="9" t="s">
        <v>410</v>
      </c>
      <c r="C14" s="9" t="s">
        <v>407</v>
      </c>
    </row>
    <row r="15" spans="1:3">
      <c r="A15" s="9" t="s">
        <v>45</v>
      </c>
      <c r="B15" s="9" t="s">
        <v>411</v>
      </c>
      <c r="C15" s="9" t="s">
        <v>407</v>
      </c>
    </row>
    <row r="16" spans="1:3">
      <c r="A16" s="9" t="s">
        <v>46</v>
      </c>
      <c r="B16" s="9" t="s">
        <v>412</v>
      </c>
      <c r="C16" s="9" t="s">
        <v>407</v>
      </c>
    </row>
    <row r="17" spans="1:3">
      <c r="A17" s="9" t="s">
        <v>47</v>
      </c>
      <c r="B17" s="9" t="s">
        <v>413</v>
      </c>
      <c r="C17" s="9" t="s">
        <v>407</v>
      </c>
    </row>
    <row r="18" spans="1:3">
      <c r="A18" s="9" t="s">
        <v>49</v>
      </c>
      <c r="B18" s="9" t="s">
        <v>414</v>
      </c>
      <c r="C18" s="9" t="s">
        <v>393</v>
      </c>
    </row>
    <row r="19" spans="1:3">
      <c r="A19" s="9" t="s">
        <v>51</v>
      </c>
      <c r="B19" s="9" t="s">
        <v>415</v>
      </c>
      <c r="C19" s="9" t="s">
        <v>407</v>
      </c>
    </row>
    <row r="20" spans="1:3">
      <c r="A20" s="9" t="s">
        <v>54</v>
      </c>
      <c r="B20" s="9" t="s">
        <v>416</v>
      </c>
      <c r="C20" s="9" t="s">
        <v>407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5"/>
  <sheetViews>
    <sheetView workbookViewId="0">
      <selection sqref="A1:B1"/>
    </sheetView>
  </sheetViews>
  <sheetFormatPr baseColWidth="10" defaultColWidth="9" defaultRowHeight="13.5"/>
  <cols>
    <col min="1" max="1" width="14.25" customWidth="1"/>
    <col min="2" max="2" width="77.5" customWidth="1"/>
  </cols>
  <sheetData>
    <row r="1" spans="1:2" ht="14.65">
      <c r="A1" s="31" t="s">
        <v>417</v>
      </c>
      <c r="B1" s="32"/>
    </row>
    <row r="2" spans="1:2">
      <c r="A2" s="9"/>
      <c r="B2" s="9"/>
    </row>
    <row r="3" spans="1:2" ht="13.9">
      <c r="A3" s="10" t="s">
        <v>418</v>
      </c>
      <c r="B3" s="9" t="s">
        <v>419</v>
      </c>
    </row>
    <row r="4" spans="1:2" ht="13.9">
      <c r="A4" s="10" t="s">
        <v>420</v>
      </c>
      <c r="B4" s="9" t="s">
        <v>421</v>
      </c>
    </row>
    <row r="5" spans="1:2" ht="27.4">
      <c r="A5" s="10" t="s">
        <v>422</v>
      </c>
      <c r="B5" s="9" t="s">
        <v>423</v>
      </c>
    </row>
    <row r="6" spans="1:2" ht="27.75">
      <c r="A6" s="10" t="s">
        <v>1</v>
      </c>
      <c r="B6" s="9" t="s">
        <v>424</v>
      </c>
    </row>
    <row r="7" spans="1:2" ht="13.9">
      <c r="A7" s="10" t="s">
        <v>425</v>
      </c>
      <c r="B7" s="9" t="s">
        <v>426</v>
      </c>
    </row>
    <row r="8" spans="1:2" ht="13.9">
      <c r="A8" s="10" t="s">
        <v>427</v>
      </c>
      <c r="B8" s="9" t="s">
        <v>428</v>
      </c>
    </row>
    <row r="10" spans="1:2" ht="13.9">
      <c r="A10" s="14" t="s">
        <v>429</v>
      </c>
      <c r="B10" t="s">
        <v>430</v>
      </c>
    </row>
    <row r="11" spans="1:2" ht="13.9">
      <c r="A11" s="14" t="s">
        <v>431</v>
      </c>
      <c r="B11" t="s">
        <v>432</v>
      </c>
    </row>
    <row r="12" spans="1:2" ht="13.9">
      <c r="A12" s="14" t="s">
        <v>433</v>
      </c>
      <c r="B12" t="s">
        <v>434</v>
      </c>
    </row>
    <row r="13" spans="1:2" ht="13.9">
      <c r="A13" s="14" t="s">
        <v>435</v>
      </c>
      <c r="B13" t="s">
        <v>436</v>
      </c>
    </row>
    <row r="14" spans="1:2" ht="13.9">
      <c r="A14" s="14" t="s">
        <v>437</v>
      </c>
      <c r="B14" t="s">
        <v>438</v>
      </c>
    </row>
    <row r="15" spans="1:2" ht="13.9">
      <c r="A15" s="14" t="s">
        <v>439</v>
      </c>
      <c r="B15" t="s">
        <v>440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Resumen</vt:lpstr>
      <vt:lpstr>Facturas</vt:lpstr>
      <vt:lpstr>Clientes</vt:lpstr>
      <vt:lpstr>Servicios</vt:lpstr>
      <vt:lpstr>Tipo_Cambio</vt:lpstr>
      <vt:lpstr>Diccionario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Matias Noero</cp:lastModifiedBy>
  <dcterms:created xsi:type="dcterms:W3CDTF">2026-07-01T17:35:02Z</dcterms:created>
  <dcterms:modified xsi:type="dcterms:W3CDTF">2026-07-01T23:36:18Z</dcterms:modified>
</cp:coreProperties>
</file>